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holme\Desktop\RoboWars-IIT-Mandi\RoboWars2025\"/>
    </mc:Choice>
  </mc:AlternateContent>
  <xr:revisionPtr revIDLastSave="0" documentId="13_ncr:1_{9B1B503A-4F0A-4722-B6EA-40DE3E93FAF9}" xr6:coauthVersionLast="47" xr6:coauthVersionMax="47" xr10:uidLastSave="{00000000-0000-0000-0000-000000000000}"/>
  <bookViews>
    <workbookView xWindow="-108" yWindow="-108" windowWidth="23256" windowHeight="13176" activeTab="1" xr2:uid="{00000000-000D-0000-FFFF-FFFF00000000}"/>
  </bookViews>
  <sheets>
    <sheet name="Instructions" sheetId="6" r:id="rId1"/>
    <sheet name="Calculations" sheetId="2" r:id="rId2"/>
    <sheet name="Data Table" sheetId="4" state="hidden" r:id="rId3"/>
  </sheets>
  <definedNames>
    <definedName name="_xlnm.Print_Area" localSheetId="1">Calculations!$A$1:$U$36</definedName>
    <definedName name="seconds">'Data Table'!$G$5:$G$24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4" l="1"/>
  <c r="F2" i="4" s="1"/>
  <c r="D19" i="6"/>
  <c r="G2" i="4" l="1"/>
  <c r="M11" i="2"/>
  <c r="M10" i="2"/>
  <c r="M7" i="2"/>
  <c r="I30" i="2" l="1"/>
  <c r="I28" i="2"/>
  <c r="I26" i="2"/>
  <c r="N22" i="4" l="1"/>
  <c r="E15" i="2" l="1"/>
  <c r="E8" i="2"/>
  <c r="E7" i="2" s="1"/>
  <c r="E22" i="2"/>
  <c r="E21" i="2" s="1"/>
  <c r="D2" i="4" l="1"/>
  <c r="H26" i="4" s="1"/>
  <c r="H2" i="4" l="1"/>
  <c r="I2" i="4" s="1"/>
  <c r="J26" i="4" l="1"/>
  <c r="J5" i="4"/>
  <c r="E14" i="2"/>
  <c r="H23" i="4" l="1"/>
  <c r="H21" i="4"/>
  <c r="J21" i="4" s="1"/>
  <c r="H19" i="4"/>
  <c r="J19" i="4" s="1"/>
  <c r="H17" i="4"/>
  <c r="H15" i="4"/>
  <c r="J15" i="4" s="1"/>
  <c r="H13" i="4"/>
  <c r="J13" i="4" s="1"/>
  <c r="H11" i="4"/>
  <c r="J11" i="4" s="1"/>
  <c r="H9" i="4"/>
  <c r="J9" i="4" s="1"/>
  <c r="H7" i="4"/>
  <c r="J7" i="4" s="1"/>
  <c r="H24" i="4"/>
  <c r="H22" i="4"/>
  <c r="J22" i="4" s="1"/>
  <c r="H20" i="4"/>
  <c r="J20" i="4" s="1"/>
  <c r="H18" i="4"/>
  <c r="J18" i="4" s="1"/>
  <c r="H16" i="4"/>
  <c r="J16" i="4" s="1"/>
  <c r="H14" i="4"/>
  <c r="J14" i="4" s="1"/>
  <c r="H12" i="4"/>
  <c r="J12" i="4" s="1"/>
  <c r="H10" i="4"/>
  <c r="J10" i="4" s="1"/>
  <c r="H8" i="4"/>
  <c r="J8" i="4" s="1"/>
  <c r="H6" i="4"/>
  <c r="J6" i="4" s="1"/>
  <c r="E27" i="2"/>
  <c r="E28" i="2"/>
  <c r="J23" i="4" l="1"/>
  <c r="L14" i="2"/>
  <c r="L15" i="2" s="1"/>
  <c r="J24" i="4"/>
  <c r="J17" i="4"/>
  <c r="B2" i="4"/>
  <c r="E2" i="4"/>
  <c r="I26" i="4" s="1"/>
  <c r="C2" i="4" l="1"/>
  <c r="D26" i="4" s="1"/>
  <c r="B26" i="4"/>
  <c r="I24" i="4"/>
  <c r="L22" i="2" s="1"/>
  <c r="I20" i="4"/>
  <c r="I16" i="4"/>
  <c r="I12" i="4"/>
  <c r="I8" i="4"/>
  <c r="I23" i="4"/>
  <c r="I19" i="4"/>
  <c r="I15" i="4"/>
  <c r="I11" i="4"/>
  <c r="I7" i="4"/>
  <c r="I14" i="4"/>
  <c r="I6" i="4"/>
  <c r="I22" i="4"/>
  <c r="I18" i="4"/>
  <c r="I10" i="4"/>
  <c r="I21" i="4"/>
  <c r="I17" i="4"/>
  <c r="I13" i="4"/>
  <c r="I9" i="4"/>
  <c r="L16" i="2" l="1"/>
  <c r="B23" i="4"/>
  <c r="B21" i="4"/>
  <c r="B19" i="4"/>
  <c r="B17" i="4"/>
  <c r="C26" i="4" s="1"/>
  <c r="B15" i="4"/>
  <c r="B13" i="4"/>
  <c r="B11" i="4"/>
  <c r="B9" i="4"/>
  <c r="B7" i="4"/>
  <c r="B24" i="4"/>
  <c r="B22" i="4"/>
  <c r="B20" i="4"/>
  <c r="B18" i="4"/>
  <c r="B16" i="4"/>
  <c r="B14" i="4"/>
  <c r="B12" i="4"/>
  <c r="B10" i="4"/>
  <c r="B8" i="4"/>
  <c r="B6" i="4"/>
  <c r="C6" i="4" s="1"/>
  <c r="C18" i="4" l="1"/>
  <c r="C24" i="4"/>
  <c r="C14" i="4"/>
  <c r="C19" i="4"/>
  <c r="C17" i="4"/>
  <c r="C12" i="4"/>
  <c r="C7" i="4"/>
  <c r="D24" i="4"/>
  <c r="D22" i="4"/>
  <c r="D20" i="4"/>
  <c r="D18" i="4"/>
  <c r="D16" i="4"/>
  <c r="D14" i="4"/>
  <c r="D12" i="4"/>
  <c r="D10" i="4"/>
  <c r="D8" i="4"/>
  <c r="D6" i="4"/>
  <c r="D23" i="4"/>
  <c r="D21" i="4"/>
  <c r="D19" i="4"/>
  <c r="D17" i="4"/>
  <c r="E26" i="4" s="1"/>
  <c r="D15" i="4"/>
  <c r="D13" i="4"/>
  <c r="D11" i="4"/>
  <c r="D9" i="4"/>
  <c r="D7" i="4"/>
  <c r="C22" i="4"/>
  <c r="C16" i="4"/>
  <c r="C10" i="4"/>
  <c r="C20" i="4"/>
  <c r="C8" i="4"/>
  <c r="C13" i="4"/>
  <c r="C23" i="4"/>
  <c r="C15" i="4"/>
  <c r="C11" i="4"/>
  <c r="C9" i="4"/>
  <c r="C21" i="4"/>
  <c r="E18" i="4" l="1"/>
  <c r="E20" i="4"/>
  <c r="E13" i="4"/>
  <c r="E10" i="4"/>
  <c r="E7" i="4"/>
  <c r="E23" i="4"/>
  <c r="E17" i="4"/>
  <c r="E8" i="4"/>
  <c r="E24" i="4"/>
  <c r="E14" i="4"/>
  <c r="E11" i="4"/>
  <c r="E12" i="4"/>
  <c r="E21" i="4"/>
  <c r="E15" i="4"/>
  <c r="E16" i="4"/>
  <c r="E9" i="4"/>
  <c r="E6" i="4"/>
  <c r="G6" i="4" s="1"/>
  <c r="E22" i="4"/>
  <c r="E19" i="4"/>
  <c r="G7" i="4" l="1"/>
  <c r="G8" i="4" l="1"/>
  <c r="G9" i="4" s="1"/>
  <c r="G10" i="4" s="1"/>
  <c r="G11" i="4" l="1"/>
  <c r="G12" i="4" l="1"/>
  <c r="G13" i="4" s="1"/>
  <c r="G14" i="4" s="1"/>
  <c r="G15" i="4" s="1"/>
  <c r="G16" i="4" l="1"/>
  <c r="G17" i="4" s="1"/>
  <c r="G18" i="4" s="1"/>
  <c r="G19" i="4" l="1"/>
  <c r="G26" i="4"/>
  <c r="G20" i="4" l="1"/>
  <c r="G21" i="4" s="1"/>
  <c r="G22" i="4" s="1"/>
  <c r="G23" i="4" s="1"/>
  <c r="G24" i="4" l="1"/>
  <c r="L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ODOT User</author>
    <author>Windows User</author>
  </authors>
  <commentList>
    <comment ref="I6" authorId="0" shapeId="0" xr:uid="{00000000-0006-0000-0100-000001000000}">
      <text>
        <r>
          <rPr>
            <sz val="9"/>
            <color indexed="81"/>
            <rFont val="Tahoma"/>
            <family val="2"/>
          </rPr>
          <t>For brushed motors calculate: 
 Ri = 1000 * Voltage /  Stall Amps</t>
        </r>
      </text>
    </comment>
    <comment ref="I7" authorId="0" shapeId="0" xr:uid="{00000000-0006-0000-0100-000002000000}">
      <text>
        <r>
          <rPr>
            <sz val="9"/>
            <color indexed="81"/>
            <rFont val="Tahoma"/>
            <family val="2"/>
          </rPr>
          <t>Brushless ESC 'soft start' is based on  mechanical RPM and the number of magnet poles.</t>
        </r>
      </text>
    </comment>
    <comment ref="M7" authorId="1" shapeId="0" xr:uid="{00000000-0006-0000-0100-000003000000}">
      <text>
        <r>
          <rPr>
            <sz val="9"/>
            <color indexed="81"/>
            <rFont val="Tahoma"/>
            <family val="2"/>
          </rPr>
          <t xml:space="preserve">Individual magnet poles on the outrunner ring, or poles on the inrunner rotor.
</t>
        </r>
        <r>
          <rPr>
            <b/>
            <sz val="9"/>
            <color indexed="81"/>
            <rFont val="Tahoma"/>
            <family val="2"/>
          </rPr>
          <t>Used only in brushless calculations.</t>
        </r>
      </text>
    </comment>
    <comment ref="I10" authorId="0" shapeId="0" xr:uid="{00000000-0006-0000-0100-000004000000}">
      <text>
        <r>
          <rPr>
            <b/>
            <sz val="8"/>
            <color indexed="81"/>
            <rFont val="Tahoma"/>
            <family val="2"/>
          </rPr>
          <t>Commutation time in u-sec below which 'soft start' restriction is active.</t>
        </r>
        <r>
          <rPr>
            <sz val="8"/>
            <color indexed="81"/>
            <rFont val="Tahoma"/>
            <family val="2"/>
          </rPr>
          <t xml:space="preserve">
TIMING_RANGE3 Default value: 1024</t>
        </r>
      </text>
    </comment>
    <comment ref="I11" authorId="0" shapeId="0" xr:uid="{00000000-0006-0000-0100-000005000000}">
      <text>
        <r>
          <rPr>
            <b/>
            <sz val="8"/>
            <color indexed="81"/>
            <rFont val="Tahoma"/>
            <family val="2"/>
          </rPr>
          <t>Maximum power pulse length during 'soft start'.</t>
        </r>
        <r>
          <rPr>
            <sz val="8"/>
            <color indexed="81"/>
            <rFont val="Tahoma"/>
            <family val="2"/>
          </rPr>
          <t xml:space="preserve">
PWR_MAX_RPM1 Default value: 25%</t>
        </r>
      </text>
    </comment>
    <comment ref="I13" authorId="1" shapeId="0" xr:uid="{00000000-0006-0000-0100-000006000000}">
      <text>
        <r>
          <rPr>
            <b/>
            <sz val="9"/>
            <color indexed="81"/>
            <rFont val="Tahoma"/>
            <family val="2"/>
          </rPr>
          <t>0% to 95% in 5% increments.</t>
        </r>
      </text>
    </comment>
    <comment ref="I15" authorId="1" shapeId="0" xr:uid="{00000000-0006-0000-0100-000007000000}">
      <text>
        <r>
          <rPr>
            <b/>
            <sz val="9"/>
            <color indexed="81"/>
            <rFont val="Tahoma"/>
            <family val="2"/>
          </rPr>
          <t>Zero out unused lengths and radii.</t>
        </r>
        <r>
          <rPr>
            <sz val="9"/>
            <color indexed="81"/>
            <rFont val="Tahoma"/>
            <family val="2"/>
          </rPr>
          <t xml:space="preserve">
</t>
        </r>
      </text>
    </comment>
    <comment ref="I19" authorId="1" shapeId="0" xr:uid="{00000000-0006-0000-0100-000008000000}">
      <text>
        <r>
          <rPr>
            <sz val="9"/>
            <color indexed="81"/>
            <rFont val="Tahoma"/>
            <family val="2"/>
          </rPr>
          <t>Default value is typical: 8  m</t>
        </r>
        <r>
          <rPr>
            <sz val="9"/>
            <color indexed="81"/>
            <rFont val="Symbol"/>
            <family val="1"/>
            <charset val="2"/>
          </rPr>
          <t>W</t>
        </r>
        <r>
          <rPr>
            <sz val="9"/>
            <color indexed="81"/>
            <rFont val="Tahoma"/>
            <family val="2"/>
          </rPr>
          <t xml:space="preserve"> per cell.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ODOT User</author>
  </authors>
  <commentList>
    <comment ref="A1" authorId="0" shapeId="0" xr:uid="{00000000-0006-0000-0200-000001000000}">
      <text>
        <r>
          <rPr>
            <b/>
            <sz val="9"/>
            <color indexed="81"/>
            <rFont val="Tahoma"/>
            <family val="2"/>
          </rPr>
          <t>From radio buttons: 
1 = brushed
2 = brushless</t>
        </r>
        <r>
          <rPr>
            <sz val="9"/>
            <color indexed="81"/>
            <rFont val="Tahoma"/>
            <family val="2"/>
          </rPr>
          <t xml:space="preserve">
</t>
        </r>
      </text>
    </comment>
    <comment ref="C1" authorId="1" shapeId="0" xr:uid="{00000000-0006-0000-0200-000002000000}">
      <text>
        <r>
          <rPr>
            <b/>
            <sz val="8"/>
            <color indexed="81"/>
            <rFont val="Tahoma"/>
            <family val="2"/>
          </rPr>
          <t>Time constant when ESC 'soft start' is active.</t>
        </r>
        <r>
          <rPr>
            <sz val="8"/>
            <color indexed="81"/>
            <rFont val="Tahoma"/>
            <family val="2"/>
          </rPr>
          <t xml:space="preserve">
</t>
        </r>
      </text>
    </comment>
    <comment ref="F1" authorId="1" shapeId="0" xr:uid="{00000000-0006-0000-0200-000003000000}">
      <text>
        <r>
          <rPr>
            <b/>
            <sz val="8"/>
            <color indexed="81"/>
            <rFont val="Tahoma"/>
            <family val="2"/>
          </rPr>
          <t>Theoretical stall torque in N-m</t>
        </r>
        <r>
          <rPr>
            <sz val="8"/>
            <color indexed="81"/>
            <rFont val="Tahoma"/>
            <family val="2"/>
          </rPr>
          <t xml:space="preserve">
</t>
        </r>
      </text>
    </comment>
    <comment ref="G1" authorId="1" shapeId="0" xr:uid="{00000000-0006-0000-0200-000004000000}">
      <text>
        <r>
          <rPr>
            <b/>
            <sz val="8"/>
            <color indexed="81"/>
            <rFont val="Tahoma"/>
            <family val="2"/>
          </rPr>
          <t>Theoretical Stall Amps</t>
        </r>
        <r>
          <rPr>
            <sz val="8"/>
            <color indexed="81"/>
            <rFont val="Tahoma"/>
            <family val="2"/>
          </rPr>
          <t xml:space="preserve">
</t>
        </r>
      </text>
    </comment>
    <comment ref="I1" authorId="1" shapeId="0" xr:uid="{00000000-0006-0000-0200-000005000000}">
      <text>
        <r>
          <rPr>
            <b/>
            <sz val="8"/>
            <color indexed="81"/>
            <rFont val="Tahoma"/>
            <family val="2"/>
          </rPr>
          <t>Weapon RPM where ESC 'soft start' cuts out.</t>
        </r>
      </text>
    </comment>
    <comment ref="J1" authorId="0" shapeId="0" xr:uid="{00000000-0006-0000-0200-000006000000}">
      <text>
        <r>
          <rPr>
            <b/>
            <sz val="9"/>
            <color indexed="81"/>
            <rFont val="Tahoma"/>
            <family val="2"/>
          </rPr>
          <t>Combined motor Ri and estimated battery Ri</t>
        </r>
        <r>
          <rPr>
            <sz val="9"/>
            <color indexed="81"/>
            <rFont val="Tahoma"/>
            <family val="2"/>
          </rPr>
          <t xml:space="preserve">
</t>
        </r>
      </text>
    </comment>
  </commentList>
</comments>
</file>

<file path=xl/sharedStrings.xml><?xml version="1.0" encoding="utf-8"?>
<sst xmlns="http://schemas.openxmlformats.org/spreadsheetml/2006/main" count="145" uniqueCount="110">
  <si>
    <t>RPM</t>
  </si>
  <si>
    <t>Mass</t>
  </si>
  <si>
    <t>to 1</t>
  </si>
  <si>
    <t>mm</t>
  </si>
  <si>
    <t>Thickness</t>
  </si>
  <si>
    <t>Radius</t>
  </si>
  <si>
    <t>Length</t>
  </si>
  <si>
    <t>Width</t>
  </si>
  <si>
    <t>Gear Reduction</t>
  </si>
  <si>
    <t>Moment of Inertia</t>
  </si>
  <si>
    <t>For a disk</t>
  </si>
  <si>
    <t>Total</t>
  </si>
  <si>
    <t>Seconds</t>
  </si>
  <si>
    <t>Time Constant</t>
  </si>
  <si>
    <t>Max RPM</t>
  </si>
  <si>
    <t>% RPM</t>
  </si>
  <si>
    <t>MOI</t>
  </si>
  <si>
    <t>Joules</t>
  </si>
  <si>
    <t>Conversions</t>
  </si>
  <si>
    <r>
      <t>kg/m</t>
    </r>
    <r>
      <rPr>
        <b/>
        <vertAlign val="superscript"/>
        <sz val="9"/>
        <color indexed="18"/>
        <rFont val="Arial"/>
        <family val="2"/>
      </rPr>
      <t>3</t>
    </r>
  </si>
  <si>
    <t>Material Density</t>
  </si>
  <si>
    <t>For a ring     or tube</t>
  </si>
  <si>
    <t>For a bar</t>
  </si>
  <si>
    <t>Outer Radius</t>
  </si>
  <si>
    <t xml:space="preserve">Click on the 'Calculations' tab below to go to the main worksheet. </t>
  </si>
  <si>
    <t xml:space="preserve"> volts</t>
  </si>
  <si>
    <t>minutes</t>
  </si>
  <si>
    <t>amp hours</t>
  </si>
  <si>
    <t>Spin-ups</t>
  </si>
  <si>
    <t>per match</t>
  </si>
  <si>
    <t>Match length</t>
  </si>
  <si>
    <t>Power required</t>
  </si>
  <si>
    <t>Wall Thickness</t>
  </si>
  <si>
    <t>Height (Length)</t>
  </si>
  <si>
    <t>- Feared heavyweight 'Last Rites' can store upwards of 400 joules per pound in it's massive spinning bar.</t>
  </si>
  <si>
    <t>Known MOI</t>
  </si>
  <si>
    <t>Custom Element</t>
  </si>
  <si>
    <t>Ratio</t>
  </si>
  <si>
    <t>Cutover</t>
  </si>
  <si>
    <t>---</t>
  </si>
  <si>
    <t>Seconds Full</t>
  </si>
  <si>
    <t>Gain</t>
  </si>
  <si>
    <t>Seconds'</t>
  </si>
  <si>
    <t>Gain'</t>
  </si>
  <si>
    <t>Time'</t>
  </si>
  <si>
    <t>Voltage</t>
  </si>
  <si>
    <t>Kv</t>
  </si>
  <si>
    <t>Ri</t>
  </si>
  <si>
    <t>Torque</t>
  </si>
  <si>
    <t xml:space="preserve"> rpm / volt</t>
  </si>
  <si>
    <t>Poles</t>
  </si>
  <si>
    <t xml:space="preserve">Steel </t>
  </si>
  <si>
    <t xml:space="preserve">Titanium </t>
  </si>
  <si>
    <t xml:space="preserve">Aluminum </t>
  </si>
  <si>
    <t xml:space="preserve">Magnesuim </t>
  </si>
  <si>
    <t xml:space="preserve">Carbon Fiber </t>
  </si>
  <si>
    <t xml:space="preserve">Lexan </t>
  </si>
  <si>
    <t>Amps</t>
  </si>
  <si>
    <t>Stall Current</t>
  </si>
  <si>
    <t>volts</t>
  </si>
  <si>
    <t>amps</t>
  </si>
  <si>
    <t>@ Voltage</t>
  </si>
  <si>
    <r>
      <t>m</t>
    </r>
    <r>
      <rPr>
        <sz val="10"/>
        <rFont val="Symbol"/>
        <family val="1"/>
        <charset val="2"/>
      </rPr>
      <t>W</t>
    </r>
  </si>
  <si>
    <r>
      <t>Brushed Motor 'Ri'</t>
    </r>
    <r>
      <rPr>
        <sz val="10"/>
        <color rgb="FF002060"/>
        <rFont val="Symbol"/>
        <family val="1"/>
        <charset val="2"/>
      </rPr>
      <t xml:space="preserve"> </t>
    </r>
    <r>
      <rPr>
        <sz val="10"/>
        <color rgb="FF002060"/>
        <rFont val="Arial"/>
        <family val="2"/>
      </rPr>
      <t>Calculator</t>
    </r>
  </si>
  <si>
    <t>Results</t>
  </si>
  <si>
    <t>At:</t>
  </si>
  <si>
    <t>m/sec</t>
  </si>
  <si>
    <t>Energy storage:</t>
  </si>
  <si>
    <t>Tip speed:</t>
  </si>
  <si>
    <t>Elapsed time:</t>
  </si>
  <si>
    <t>Weapon speed:</t>
  </si>
  <si>
    <t>Run Amok Combat Robotics</t>
  </si>
  <si>
    <t>Commutation Max</t>
  </si>
  <si>
    <t>Power Max</t>
  </si>
  <si>
    <t>SimonK</t>
  </si>
  <si>
    <t>Soft Start</t>
  </si>
  <si>
    <t xml:space="preserve">  kilos    →  pounds</t>
  </si>
  <si>
    <t>inches   →  meters</t>
  </si>
  <si>
    <t>Density</t>
  </si>
  <si>
    <t>max RPM</t>
  </si>
  <si>
    <t>meter</t>
  </si>
  <si>
    <t>kilos</t>
  </si>
  <si>
    <r>
      <t>kg-m</t>
    </r>
    <r>
      <rPr>
        <vertAlign val="superscript"/>
        <sz val="8"/>
        <color indexed="18"/>
        <rFont val="Arial"/>
        <family val="2"/>
      </rPr>
      <t>2</t>
    </r>
  </si>
  <si>
    <r>
      <t>kg / m</t>
    </r>
    <r>
      <rPr>
        <vertAlign val="superscript"/>
        <sz val="8"/>
        <color indexed="18"/>
        <rFont val="Arial"/>
        <family val="2"/>
      </rPr>
      <t>3</t>
    </r>
  </si>
  <si>
    <r>
      <t>kg/m</t>
    </r>
    <r>
      <rPr>
        <vertAlign val="superscript"/>
        <sz val="8"/>
        <color indexed="18"/>
        <rFont val="Arial"/>
        <family val="2"/>
      </rPr>
      <t>3</t>
    </r>
  </si>
  <si>
    <t>joules</t>
  </si>
  <si>
    <t>seconds</t>
  </si>
  <si>
    <r>
      <t xml:space="preserve">oz-in    →    </t>
    </r>
    <r>
      <rPr>
        <sz val="9"/>
        <color indexed="18"/>
        <rFont val="Arial"/>
        <family val="2"/>
      </rPr>
      <t>N-m</t>
    </r>
  </si>
  <si>
    <t xml:space="preserve"> Combat Robot Rotary Weapon Moment of Inertia, Spin-Up Time, and Battery Requirement</t>
  </si>
  <si>
    <r>
      <t xml:space="preserve"> m</t>
    </r>
    <r>
      <rPr>
        <sz val="9"/>
        <rFont val="Symbol"/>
        <family val="1"/>
        <charset val="2"/>
      </rPr>
      <t>W</t>
    </r>
  </si>
  <si>
    <t>Battery Power Calcs 2008 by Michael Maples</t>
  </si>
  <si>
    <t>Motor and Drive</t>
  </si>
  <si>
    <t>Key</t>
  </si>
  <si>
    <r>
      <t xml:space="preserve">Tip </t>
    </r>
    <r>
      <rPr>
        <b/>
        <sz val="9"/>
        <color theme="1"/>
        <rFont val="Arial"/>
        <family val="2"/>
      </rPr>
      <t>Radius</t>
    </r>
  </si>
  <si>
    <r>
      <t>Brushed Motor 'Ri'</t>
    </r>
    <r>
      <rPr>
        <b/>
        <sz val="10"/>
        <color rgb="FF002060"/>
        <rFont val="Symbol"/>
        <family val="1"/>
        <charset val="2"/>
      </rPr>
      <t xml:space="preserve"> </t>
    </r>
    <r>
      <rPr>
        <b/>
        <sz val="10"/>
        <color rgb="FF002060"/>
        <rFont val="Arial"/>
        <family val="2"/>
      </rPr>
      <t>Calculator</t>
    </r>
  </si>
  <si>
    <t>- Top-ranked antweight 'Algos' stores about 120 joules per pound in its direct-drive drumette.</t>
  </si>
  <si>
    <t>Spreadsheet copyright 2007 - 2023 by Mark Joerger</t>
  </si>
  <si>
    <r>
      <rPr>
        <b/>
        <u/>
        <sz val="9"/>
        <color rgb="FFC00000"/>
        <rFont val="Arial"/>
        <family val="2"/>
      </rPr>
      <t>How much kinetic energy is enough</t>
    </r>
    <r>
      <rPr>
        <b/>
        <sz val="9"/>
        <color rgb="FFC00000"/>
        <rFont val="Arial"/>
        <family val="2"/>
      </rPr>
      <t>?</t>
    </r>
    <r>
      <rPr>
        <b/>
        <sz val="9"/>
        <color indexed="18"/>
        <rFont val="Arial"/>
        <family val="2"/>
      </rPr>
      <t xml:space="preserve"> </t>
    </r>
    <r>
      <rPr>
        <b/>
        <sz val="9"/>
        <color indexed="23"/>
        <rFont val="Arial"/>
        <family val="2"/>
      </rPr>
      <t>(Updated 2016)</t>
    </r>
    <r>
      <rPr>
        <b/>
        <sz val="9"/>
        <color indexed="18"/>
        <rFont val="Arial"/>
        <family val="2"/>
      </rPr>
      <t xml:space="preserve">  Current tournament results show that a good design with 50 joules of stored energy per pound of the weight class is 'plenty', but some 'bots claim a great deal more. Examples: </t>
    </r>
  </si>
  <si>
    <r>
      <rPr>
        <b/>
        <u/>
        <sz val="9"/>
        <color rgb="FFC00000"/>
        <rFont val="Arial"/>
        <family val="2"/>
      </rPr>
      <t>How fast should your weapon spin-up</t>
    </r>
    <r>
      <rPr>
        <b/>
        <sz val="9"/>
        <color rgb="FFC00000"/>
        <rFont val="Arial"/>
        <family val="2"/>
      </rPr>
      <t>?</t>
    </r>
    <r>
      <rPr>
        <b/>
        <sz val="9"/>
        <color indexed="18"/>
        <rFont val="Arial"/>
        <family val="2"/>
      </rPr>
      <t xml:space="preserve"> Aim for at least 20 joules per pound in the first two seconds. You may get a little more time in large arenas (less in small ones), and you can buy some extra time if your 'bot is nimble enough to protect the weapon from premature impact by dodging.</t>
    </r>
  </si>
  <si>
    <t>Resistance per cell</t>
  </si>
  <si>
    <t>Battery</t>
  </si>
  <si>
    <r>
      <rPr>
        <b/>
        <u/>
        <sz val="9"/>
        <color rgb="FFC00000"/>
        <rFont val="Arial"/>
        <family val="2"/>
      </rPr>
      <t>Battery</t>
    </r>
    <r>
      <rPr>
        <b/>
        <sz val="9"/>
        <color indexed="18"/>
        <rFont val="Arial"/>
        <family val="2"/>
      </rPr>
      <t xml:space="preserve"> - The battery capacity calculation assumes that each weapon hit completely dissipates the energy stored in the weapon, and that the weapon motor draws 5% of stall current to maintain the weapon at speed. </t>
    </r>
    <r>
      <rPr>
        <b/>
        <sz val="9"/>
        <color rgb="FFC00000"/>
        <rFont val="Arial"/>
        <family val="2"/>
      </rPr>
      <t/>
    </r>
  </si>
  <si>
    <t>Total Ri</t>
  </si>
  <si>
    <r>
      <rPr>
        <b/>
        <u/>
        <sz val="9"/>
        <color rgb="FF7030A0"/>
        <rFont val="Arial"/>
        <family val="2"/>
      </rPr>
      <t>NEW to version 20a</t>
    </r>
    <r>
      <rPr>
        <b/>
        <sz val="9"/>
        <color rgb="FF7030A0"/>
        <rFont val="Arial"/>
        <family val="2"/>
      </rPr>
      <t>:</t>
    </r>
    <r>
      <rPr>
        <b/>
        <sz val="9"/>
        <color rgb="FFC00000"/>
        <rFont val="Arial"/>
        <family val="2"/>
      </rPr>
      <t xml:space="preserve"> </t>
    </r>
    <r>
      <rPr>
        <b/>
        <sz val="9"/>
        <color indexed="18"/>
        <rFont val="Arial"/>
        <family val="2"/>
      </rPr>
      <t>The battery section of the spreadsheet now asks for the resistance per battery cell to calculate total system resitance in the motor torque and current calculations - a reasonable default value is 8  mW per cell.</t>
    </r>
  </si>
  <si>
    <r>
      <rPr>
        <b/>
        <u/>
        <sz val="9"/>
        <color rgb="FFC00000"/>
        <rFont val="Arial"/>
        <family val="2"/>
      </rPr>
      <t>Brushless motors</t>
    </r>
    <r>
      <rPr>
        <b/>
        <sz val="9"/>
        <color indexed="18"/>
        <rFont val="Arial"/>
        <family val="2"/>
      </rPr>
      <t xml:space="preserve"> - This spreadsheet correctly models the 'soft-start' feature of 'SimonK' or similar controller firmware. Modeling the motor requires only voltage, RPM per volt (Kv), internal resistance (Ri), and the number of magnetic poles.</t>
    </r>
  </si>
  <si>
    <r>
      <rPr>
        <b/>
        <u/>
        <sz val="9"/>
        <color rgb="FFC00000"/>
        <rFont val="Arial"/>
        <family val="2"/>
      </rPr>
      <t>Brushed motors</t>
    </r>
    <r>
      <rPr>
        <b/>
        <sz val="9"/>
        <color indexed="18"/>
        <rFont val="Arial"/>
        <family val="2"/>
      </rPr>
      <t xml:space="preserve"> - Selecting the 'Brushed' radio button in the 'Motor and Drive' input section will remove all soft-start calculations. A calculator to assist in determining the internal resistance (Ri) of a brushed motor given the stall current is provided at the bottom of this page - </t>
    </r>
    <r>
      <rPr>
        <b/>
        <sz val="9"/>
        <color rgb="FF33CCCC"/>
        <rFont val="Arial"/>
        <family val="2"/>
      </rPr>
      <t>scroll down</t>
    </r>
    <r>
      <rPr>
        <b/>
        <sz val="9"/>
        <color indexed="18"/>
        <rFont val="Arial"/>
        <family val="2"/>
      </rPr>
      <t>.</t>
    </r>
  </si>
  <si>
    <t>Fill in the blue information boxes on the 'Calculations' sheet as appropriate -- set the thickness of any unused elements to zero. Note that the calculations do not include the inertia of the motor rotor or gear train, and neither do they account for aerodynamic drag on the weapon.</t>
  </si>
  <si>
    <t xml:space="preserve">This spreadsheet calculates the mass and moment of inertia for a rotary weapon made up of rings (tubes), disks, and rectangular bars sharing a common center of rotation. Combine elements that make up your weapon. Drums are rings with two disks for ends (calculate as one double thickness disk). Complex items of known MoI may be entered directly as a 'Custom Element'. </t>
  </si>
  <si>
    <t xml:space="preserve">The spreadsheet also calculates the kinetic energy and approximate spin-up time for the weapon when powered by a specific BLDC electric motor and reduction. The example numbers provided with the spreadsheet are for a 'Propdrive 5060 380Kv' BLDC motor geared 2.5:1 spinning a 420mm x 75mm x 24mm steel bar. </t>
  </si>
  <si>
    <t>Brushed / Brushless Motor  -  version20a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</si>
</sst>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0.0"/>
    <numFmt numFmtId="166" formatCode="0.0000"/>
  </numFmts>
  <fonts count="45" x14ac:knownFonts="1">
    <font>
      <sz val="10"/>
      <name val="Arial"/>
    </font>
    <font>
      <sz val="10"/>
      <name val="Arial"/>
      <family val="2"/>
    </font>
    <font>
      <u/>
      <sz val="10"/>
      <color indexed="12"/>
      <name val="Arial"/>
      <family val="2"/>
    </font>
    <font>
      <sz val="9"/>
      <name val="Arial"/>
      <family val="2"/>
    </font>
    <font>
      <sz val="9"/>
      <color indexed="12"/>
      <name val="Arial"/>
      <family val="2"/>
    </font>
    <font>
      <sz val="9"/>
      <color indexed="10"/>
      <name val="Arial"/>
      <family val="2"/>
    </font>
    <font>
      <b/>
      <sz val="9"/>
      <color indexed="10"/>
      <name val="Arial"/>
      <family val="2"/>
    </font>
    <font>
      <b/>
      <sz val="9"/>
      <color indexed="18"/>
      <name val="Arial"/>
      <family val="2"/>
    </font>
    <font>
      <sz val="9"/>
      <color indexed="18"/>
      <name val="Arial"/>
      <family val="2"/>
    </font>
    <font>
      <sz val="9"/>
      <color indexed="18"/>
      <name val="Arial"/>
      <family val="2"/>
    </font>
    <font>
      <sz val="10"/>
      <color indexed="10"/>
      <name val="Arial"/>
      <family val="2"/>
    </font>
    <font>
      <sz val="10"/>
      <color indexed="18"/>
      <name val="Arial"/>
      <family val="2"/>
    </font>
    <font>
      <b/>
      <vertAlign val="superscript"/>
      <sz val="9"/>
      <color indexed="18"/>
      <name val="Arial"/>
      <family val="2"/>
    </font>
    <font>
      <sz val="10"/>
      <name val="Symbol"/>
      <family val="1"/>
      <charset val="2"/>
    </font>
    <font>
      <sz val="9"/>
      <color indexed="9"/>
      <name val="Arial"/>
      <family val="2"/>
    </font>
    <font>
      <b/>
      <sz val="9"/>
      <color indexed="23"/>
      <name val="Arial"/>
      <family val="2"/>
    </font>
    <font>
      <sz val="10"/>
      <color theme="0" tint="-0.249977111117893"/>
      <name val="Arial"/>
      <family val="2"/>
    </font>
    <font>
      <sz val="10"/>
      <color indexed="18"/>
      <name val="Arial"/>
      <family val="2"/>
    </font>
    <font>
      <sz val="8"/>
      <color indexed="81"/>
      <name val="Tahoma"/>
      <family val="2"/>
    </font>
    <font>
      <b/>
      <sz val="8"/>
      <color indexed="81"/>
      <name val="Tahoma"/>
      <family val="2"/>
    </font>
    <font>
      <b/>
      <sz val="9"/>
      <color rgb="FF002060"/>
      <name val="Arial"/>
      <family val="2"/>
    </font>
    <font>
      <b/>
      <sz val="11"/>
      <color indexed="18"/>
      <name val="Arial"/>
      <family val="2"/>
    </font>
    <font>
      <sz val="9"/>
      <color indexed="10"/>
      <name val="Arial"/>
      <family val="2"/>
    </font>
    <font>
      <sz val="9"/>
      <color rgb="FF002060"/>
      <name val="Arial"/>
      <family val="2"/>
    </font>
    <font>
      <sz val="10"/>
      <color rgb="FF002060"/>
      <name val="Symbol"/>
      <family val="1"/>
      <charset val="2"/>
    </font>
    <font>
      <sz val="10"/>
      <color rgb="FF002060"/>
      <name val="Arial"/>
      <family val="2"/>
    </font>
    <font>
      <u/>
      <sz val="10"/>
      <color theme="2" tint="-0.499984740745262"/>
      <name val="Arial"/>
      <family val="2"/>
    </font>
    <font>
      <sz val="9"/>
      <color rgb="FFFFFFCC"/>
      <name val="Arial"/>
      <family val="2"/>
    </font>
    <font>
      <u/>
      <sz val="11"/>
      <color rgb="FFFFFFCC"/>
      <name val="Arial"/>
      <family val="2"/>
    </font>
    <font>
      <sz val="8"/>
      <color indexed="18"/>
      <name val="Arial"/>
      <family val="2"/>
    </font>
    <font>
      <vertAlign val="superscript"/>
      <sz val="8"/>
      <color indexed="18"/>
      <name val="Arial"/>
      <family val="2"/>
    </font>
    <font>
      <sz val="9"/>
      <name val="Symbol"/>
      <family val="1"/>
      <charset val="2"/>
    </font>
    <font>
      <b/>
      <sz val="9"/>
      <color rgb="FF33CCCC"/>
      <name val="Arial"/>
      <family val="2"/>
    </font>
    <font>
      <sz val="8"/>
      <color rgb="FF000000"/>
      <name val="Tahoma"/>
      <family val="2"/>
    </font>
    <font>
      <b/>
      <sz val="9"/>
      <color theme="1"/>
      <name val="Arial"/>
      <family val="2"/>
    </font>
    <font>
      <b/>
      <sz val="10"/>
      <color rgb="FF002060"/>
      <name val="Symbol"/>
      <family val="1"/>
      <charset val="2"/>
    </font>
    <font>
      <b/>
      <sz val="10"/>
      <color rgb="FF002060"/>
      <name val="Arial"/>
      <family val="2"/>
    </font>
    <font>
      <b/>
      <sz val="9"/>
      <color rgb="FFC00000"/>
      <name val="Arial"/>
      <family val="2"/>
    </font>
    <font>
      <b/>
      <sz val="8"/>
      <color rgb="FFC00000"/>
      <name val="Arial"/>
      <family val="2"/>
    </font>
    <font>
      <b/>
      <u/>
      <sz val="9"/>
      <color rgb="FFC00000"/>
      <name val="Arial"/>
      <family val="2"/>
    </font>
    <font>
      <sz val="9"/>
      <color indexed="81"/>
      <name val="Tahoma"/>
      <family val="2"/>
    </font>
    <font>
      <sz val="9"/>
      <color indexed="81"/>
      <name val="Symbol"/>
      <family val="1"/>
      <charset val="2"/>
    </font>
    <font>
      <b/>
      <sz val="9"/>
      <color indexed="81"/>
      <name val="Tahoma"/>
      <family val="2"/>
    </font>
    <font>
      <b/>
      <u/>
      <sz val="9"/>
      <color rgb="FF7030A0"/>
      <name val="Arial"/>
      <family val="2"/>
    </font>
    <font>
      <b/>
      <sz val="9"/>
      <color rgb="FF7030A0"/>
      <name val="Arial"/>
      <family val="2"/>
    </font>
  </fonts>
  <fills count="10">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theme="2" tint="-0.249977111117893"/>
        <bgColor indexed="64"/>
      </patternFill>
    </fill>
    <fill>
      <patternFill patternType="solid">
        <fgColor rgb="FFCCFFCC"/>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bgColor indexed="64"/>
      </patternFill>
    </fill>
    <fill>
      <patternFill patternType="solid">
        <fgColor theme="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auto="1"/>
      </bottom>
      <diagonal/>
    </border>
    <border>
      <left style="thin">
        <color indexed="64"/>
      </left>
      <right style="thin">
        <color indexed="64"/>
      </right>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auto="1"/>
      </top>
      <bottom/>
      <diagonal/>
    </border>
    <border>
      <left/>
      <right style="thin">
        <color indexed="64"/>
      </right>
      <top style="thin">
        <color auto="1"/>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right/>
      <top style="thin">
        <color indexed="64"/>
      </top>
      <bottom/>
      <diagonal/>
    </border>
    <border>
      <left style="medium">
        <color rgb="FFFFFFCC"/>
      </left>
      <right/>
      <top style="medium">
        <color rgb="FFFFFFCC"/>
      </top>
      <bottom/>
      <diagonal/>
    </border>
    <border>
      <left/>
      <right/>
      <top style="medium">
        <color rgb="FFFFFFCC"/>
      </top>
      <bottom/>
      <diagonal/>
    </border>
    <border>
      <left/>
      <right style="medium">
        <color rgb="FFFFFFCC"/>
      </right>
      <top style="medium">
        <color rgb="FFFFFFCC"/>
      </top>
      <bottom/>
      <diagonal/>
    </border>
    <border>
      <left style="medium">
        <color rgb="FFFFFFCC"/>
      </left>
      <right/>
      <top/>
      <bottom/>
      <diagonal/>
    </border>
    <border>
      <left/>
      <right style="medium">
        <color rgb="FFFFFFCC"/>
      </right>
      <top/>
      <bottom/>
      <diagonal/>
    </border>
    <border>
      <left style="medium">
        <color rgb="FFFFFFCC"/>
      </left>
      <right/>
      <top/>
      <bottom style="medium">
        <color rgb="FFFFFFCC"/>
      </bottom>
      <diagonal/>
    </border>
    <border>
      <left/>
      <right/>
      <top/>
      <bottom style="medium">
        <color rgb="FFFFFFCC"/>
      </bottom>
      <diagonal/>
    </border>
    <border>
      <left/>
      <right style="medium">
        <color rgb="FFFFFFCC"/>
      </right>
      <top/>
      <bottom style="medium">
        <color rgb="FFFFFFCC"/>
      </bottom>
      <diagonal/>
    </border>
    <border>
      <left/>
      <right/>
      <top/>
      <bottom style="thin">
        <color indexed="64"/>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theme="0"/>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indexed="64"/>
      </left>
      <right/>
      <top style="thin">
        <color theme="0"/>
      </top>
      <bottom style="thin">
        <color rgb="FF92D050"/>
      </bottom>
      <diagonal/>
    </border>
    <border>
      <left/>
      <right/>
      <top style="thin">
        <color theme="0"/>
      </top>
      <bottom style="thin">
        <color rgb="FF92D050"/>
      </bottom>
      <diagonal/>
    </border>
    <border>
      <left/>
      <right style="thin">
        <color indexed="64"/>
      </right>
      <top style="thin">
        <color theme="0"/>
      </top>
      <bottom style="thin">
        <color rgb="FF92D050"/>
      </bottom>
      <diagonal/>
    </border>
    <border>
      <left style="thin">
        <color indexed="64"/>
      </left>
      <right/>
      <top style="thin">
        <color rgb="FF92D050"/>
      </top>
      <bottom style="thin">
        <color indexed="64"/>
      </bottom>
      <diagonal/>
    </border>
    <border>
      <left/>
      <right/>
      <top style="thin">
        <color rgb="FF92D050"/>
      </top>
      <bottom style="thin">
        <color indexed="64"/>
      </bottom>
      <diagonal/>
    </border>
    <border>
      <left/>
      <right style="thin">
        <color indexed="64"/>
      </right>
      <top style="thin">
        <color rgb="FF92D050"/>
      </top>
      <bottom style="thin">
        <color indexed="64"/>
      </bottom>
      <diagonal/>
    </border>
    <border>
      <left style="thin">
        <color indexed="64"/>
      </left>
      <right/>
      <top style="thin">
        <color rgb="FF92D050"/>
      </top>
      <bottom style="thin">
        <color rgb="FF92D050"/>
      </bottom>
      <diagonal/>
    </border>
    <border>
      <left/>
      <right/>
      <top style="thin">
        <color rgb="FF92D050"/>
      </top>
      <bottom style="thin">
        <color rgb="FF92D050"/>
      </bottom>
      <diagonal/>
    </border>
    <border>
      <left/>
      <right style="thin">
        <color indexed="64"/>
      </right>
      <top style="thin">
        <color rgb="FF92D050"/>
      </top>
      <bottom style="thin">
        <color rgb="FF92D050"/>
      </bottom>
      <diagonal/>
    </border>
    <border>
      <left style="thin">
        <color indexed="64"/>
      </left>
      <right/>
      <top style="thin">
        <color rgb="FF92D050"/>
      </top>
      <bottom style="thin">
        <color theme="0"/>
      </bottom>
      <diagonal/>
    </border>
    <border>
      <left/>
      <right/>
      <top style="thin">
        <color rgb="FF92D050"/>
      </top>
      <bottom style="thin">
        <color theme="0"/>
      </bottom>
      <diagonal/>
    </border>
    <border>
      <left/>
      <right style="thin">
        <color indexed="64"/>
      </right>
      <top style="thin">
        <color rgb="FF92D050"/>
      </top>
      <bottom style="thin">
        <color theme="0"/>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cellStyleXfs>
  <cellXfs count="170">
    <xf numFmtId="0" fontId="0" fillId="0" borderId="0" xfId="0"/>
    <xf numFmtId="0" fontId="3" fillId="0" borderId="0" xfId="0" applyFont="1"/>
    <xf numFmtId="0" fontId="4" fillId="2" borderId="1" xfId="0" applyFont="1" applyFill="1" applyBorder="1" applyAlignment="1" applyProtection="1">
      <alignment vertical="center"/>
      <protection locked="0"/>
    </xf>
    <xf numFmtId="164" fontId="4" fillId="2" borderId="1" xfId="0" applyNumberFormat="1" applyFont="1" applyFill="1" applyBorder="1" applyProtection="1">
      <protection locked="0"/>
    </xf>
    <xf numFmtId="165" fontId="4" fillId="2" borderId="1" xfId="0" applyNumberFormat="1" applyFont="1" applyFill="1" applyBorder="1" applyProtection="1">
      <protection locked="0"/>
    </xf>
    <xf numFmtId="2" fontId="10" fillId="0" borderId="1" xfId="0" applyNumberFormat="1" applyFont="1" applyBorder="1" applyAlignment="1">
      <alignment horizontal="center"/>
    </xf>
    <xf numFmtId="1" fontId="10" fillId="0" borderId="1" xfId="0" applyNumberFormat="1" applyFont="1" applyBorder="1" applyAlignment="1">
      <alignment horizontal="center"/>
    </xf>
    <xf numFmtId="0" fontId="11" fillId="3" borderId="1" xfId="0" applyFont="1" applyFill="1" applyBorder="1" applyAlignment="1">
      <alignment horizontal="center"/>
    </xf>
    <xf numFmtId="0" fontId="11" fillId="3" borderId="8" xfId="0" applyFont="1" applyFill="1" applyBorder="1" applyAlignment="1">
      <alignment horizontal="center"/>
    </xf>
    <xf numFmtId="0" fontId="17" fillId="3" borderId="1" xfId="0" applyFont="1" applyFill="1" applyBorder="1" applyAlignment="1">
      <alignment horizontal="center"/>
    </xf>
    <xf numFmtId="0" fontId="16" fillId="0" borderId="10" xfId="0" quotePrefix="1" applyFont="1" applyBorder="1" applyAlignment="1">
      <alignment horizontal="center"/>
    </xf>
    <xf numFmtId="2" fontId="16" fillId="0" borderId="10" xfId="0" applyNumberFormat="1" applyFont="1" applyBorder="1" applyAlignment="1">
      <alignment horizontal="center"/>
    </xf>
    <xf numFmtId="0" fontId="11" fillId="3" borderId="9" xfId="0" applyFont="1" applyFill="1" applyBorder="1" applyAlignment="1">
      <alignment horizontal="center"/>
    </xf>
    <xf numFmtId="9" fontId="11" fillId="0" borderId="9" xfId="3" applyFont="1" applyBorder="1" applyAlignment="1">
      <alignment horizontal="center"/>
    </xf>
    <xf numFmtId="0" fontId="11" fillId="3" borderId="12" xfId="0" applyFont="1" applyFill="1" applyBorder="1" applyAlignment="1">
      <alignment horizontal="center"/>
    </xf>
    <xf numFmtId="0" fontId="16" fillId="0" borderId="12" xfId="0" quotePrefix="1" applyFont="1" applyBorder="1" applyAlignment="1">
      <alignment horizontal="center"/>
    </xf>
    <xf numFmtId="2" fontId="16" fillId="0" borderId="12" xfId="0" applyNumberFormat="1" applyFont="1" applyBorder="1" applyAlignment="1">
      <alignment horizontal="center"/>
    </xf>
    <xf numFmtId="0" fontId="3" fillId="4" borderId="0" xfId="0" applyFont="1" applyFill="1"/>
    <xf numFmtId="0" fontId="0" fillId="4" borderId="0" xfId="0" applyFill="1"/>
    <xf numFmtId="1" fontId="4" fillId="2" borderId="1" xfId="0" applyNumberFormat="1" applyFont="1" applyFill="1" applyBorder="1" applyProtection="1">
      <protection locked="0"/>
    </xf>
    <xf numFmtId="0" fontId="17" fillId="3" borderId="8" xfId="0" applyFont="1" applyFill="1" applyBorder="1" applyAlignment="1">
      <alignment horizontal="center"/>
    </xf>
    <xf numFmtId="0" fontId="8" fillId="0" borderId="18" xfId="0" applyFont="1" applyBorder="1" applyAlignment="1">
      <alignment horizontal="left" indent="1"/>
    </xf>
    <xf numFmtId="0" fontId="9" fillId="0" borderId="8" xfId="0" applyFont="1" applyBorder="1" applyAlignment="1">
      <alignment horizontal="left" indent="1"/>
    </xf>
    <xf numFmtId="0" fontId="9" fillId="0" borderId="13" xfId="0" applyFont="1" applyBorder="1" applyAlignment="1">
      <alignment horizontal="left" indent="1"/>
    </xf>
    <xf numFmtId="0" fontId="9" fillId="0" borderId="18" xfId="0" applyFont="1" applyBorder="1" applyAlignment="1">
      <alignment horizontal="right" indent="1"/>
    </xf>
    <xf numFmtId="0" fontId="9" fillId="0" borderId="8" xfId="0" applyFont="1" applyBorder="1" applyAlignment="1">
      <alignment horizontal="right" indent="1"/>
    </xf>
    <xf numFmtId="0" fontId="9" fillId="0" borderId="13" xfId="0" applyFont="1" applyBorder="1" applyAlignment="1">
      <alignment horizontal="right" indent="1"/>
    </xf>
    <xf numFmtId="2" fontId="10" fillId="6" borderId="1" xfId="0" applyNumberFormat="1" applyFont="1" applyFill="1" applyBorder="1" applyAlignment="1">
      <alignment horizontal="center"/>
    </xf>
    <xf numFmtId="2" fontId="16" fillId="6" borderId="10" xfId="0" applyNumberFormat="1" applyFont="1" applyFill="1" applyBorder="1" applyAlignment="1">
      <alignment horizontal="center"/>
    </xf>
    <xf numFmtId="2" fontId="16" fillId="6" borderId="12" xfId="0" applyNumberFormat="1" applyFont="1" applyFill="1" applyBorder="1" applyAlignment="1">
      <alignment horizontal="center"/>
    </xf>
    <xf numFmtId="9" fontId="11" fillId="6" borderId="9" xfId="3" applyFont="1" applyFill="1" applyBorder="1" applyAlignment="1">
      <alignment horizontal="center"/>
    </xf>
    <xf numFmtId="1" fontId="10" fillId="6" borderId="1" xfId="0" applyNumberFormat="1" applyFont="1" applyFill="1" applyBorder="1" applyAlignment="1">
      <alignment horizontal="center"/>
    </xf>
    <xf numFmtId="9" fontId="4" fillId="2" borderId="10" xfId="3" applyFont="1" applyFill="1" applyBorder="1" applyProtection="1">
      <protection locked="0"/>
    </xf>
    <xf numFmtId="1" fontId="5" fillId="0" borderId="1" xfId="0" applyNumberFormat="1" applyFont="1" applyBorder="1"/>
    <xf numFmtId="0" fontId="4" fillId="2" borderId="15" xfId="0" applyFont="1" applyFill="1" applyBorder="1" applyProtection="1">
      <protection locked="0"/>
    </xf>
    <xf numFmtId="164" fontId="4" fillId="2" borderId="15" xfId="0" applyNumberFormat="1" applyFont="1" applyFill="1" applyBorder="1" applyProtection="1">
      <protection locked="0"/>
    </xf>
    <xf numFmtId="165" fontId="4" fillId="2" borderId="15" xfId="0" applyNumberFormat="1" applyFont="1" applyFill="1" applyBorder="1" applyProtection="1">
      <protection locked="0"/>
    </xf>
    <xf numFmtId="0" fontId="4" fillId="2" borderId="15" xfId="0" applyFont="1" applyFill="1" applyBorder="1" applyAlignment="1" applyProtection="1">
      <alignment horizontal="right" vertical="center"/>
      <protection locked="0"/>
    </xf>
    <xf numFmtId="1" fontId="4" fillId="2" borderId="15" xfId="0" applyNumberFormat="1" applyFont="1" applyFill="1" applyBorder="1" applyAlignment="1" applyProtection="1">
      <alignment horizontal="right"/>
      <protection locked="0"/>
    </xf>
    <xf numFmtId="0" fontId="4" fillId="2" borderId="15" xfId="0" applyFont="1" applyFill="1" applyBorder="1" applyAlignment="1" applyProtection="1">
      <alignment horizontal="right"/>
      <protection locked="0"/>
    </xf>
    <xf numFmtId="0" fontId="4" fillId="2" borderId="6" xfId="0" applyFont="1" applyFill="1" applyBorder="1" applyAlignment="1" applyProtection="1">
      <alignment horizontal="center"/>
      <protection locked="0"/>
    </xf>
    <xf numFmtId="9" fontId="4" fillId="2" borderId="15" xfId="3" applyFont="1" applyFill="1" applyBorder="1" applyAlignment="1" applyProtection="1">
      <alignment horizontal="right"/>
      <protection locked="0"/>
    </xf>
    <xf numFmtId="0" fontId="29" fillId="0" borderId="3" xfId="0" applyFont="1" applyBorder="1" applyAlignment="1">
      <alignment horizontal="left" indent="1"/>
    </xf>
    <xf numFmtId="0" fontId="8" fillId="0" borderId="3" xfId="0" applyFont="1" applyBorder="1" applyAlignment="1">
      <alignment horizontal="left" indent="1"/>
    </xf>
    <xf numFmtId="0" fontId="26" fillId="4" borderId="0" xfId="2" applyFont="1" applyFill="1" applyBorder="1" applyAlignment="1" applyProtection="1">
      <alignment horizontal="center"/>
    </xf>
    <xf numFmtId="0" fontId="2" fillId="4" borderId="0" xfId="2" applyFill="1" applyBorder="1" applyAlignment="1" applyProtection="1"/>
    <xf numFmtId="0" fontId="8" fillId="0" borderId="4" xfId="0" applyFont="1" applyBorder="1" applyAlignment="1">
      <alignment horizontal="left" indent="1"/>
    </xf>
    <xf numFmtId="0" fontId="5" fillId="0" borderId="15" xfId="0" applyFont="1" applyBorder="1"/>
    <xf numFmtId="0" fontId="29" fillId="0" borderId="4" xfId="0" applyFont="1" applyBorder="1" applyAlignment="1">
      <alignment horizontal="left" vertical="center" indent="1"/>
    </xf>
    <xf numFmtId="0" fontId="20" fillId="3" borderId="8" xfId="0" applyFont="1" applyFill="1" applyBorder="1" applyAlignment="1">
      <alignment horizontal="left" vertical="center" wrapText="1"/>
    </xf>
    <xf numFmtId="2" fontId="5" fillId="0" borderId="15" xfId="0" applyNumberFormat="1" applyFont="1" applyBorder="1"/>
    <xf numFmtId="0" fontId="8" fillId="0" borderId="5" xfId="0" applyFont="1" applyBorder="1" applyAlignment="1">
      <alignment horizontal="left" indent="1"/>
    </xf>
    <xf numFmtId="0" fontId="20" fillId="3" borderId="13" xfId="0" applyFont="1" applyFill="1" applyBorder="1" applyAlignment="1">
      <alignment horizontal="left" vertical="center" wrapText="1"/>
    </xf>
    <xf numFmtId="0" fontId="3" fillId="4" borderId="0" xfId="0" applyFont="1" applyFill="1" applyAlignment="1">
      <alignment horizontal="center"/>
    </xf>
    <xf numFmtId="0" fontId="7" fillId="3" borderId="23" xfId="0" applyFont="1" applyFill="1" applyBorder="1" applyAlignment="1">
      <alignment horizontal="center" vertical="center" wrapText="1"/>
    </xf>
    <xf numFmtId="0" fontId="8" fillId="0" borderId="23" xfId="0" applyFont="1" applyBorder="1" applyAlignment="1">
      <alignment horizontal="left" indent="1"/>
    </xf>
    <xf numFmtId="0" fontId="7" fillId="3" borderId="6" xfId="0" applyFont="1" applyFill="1" applyBorder="1" applyAlignment="1">
      <alignment horizontal="center" vertical="center" wrapText="1"/>
    </xf>
    <xf numFmtId="0" fontId="8" fillId="0" borderId="13" xfId="0" applyFont="1" applyBorder="1" applyAlignment="1">
      <alignment horizontal="left" indent="1"/>
    </xf>
    <xf numFmtId="0" fontId="14" fillId="4" borderId="0" xfId="0" applyFont="1" applyFill="1"/>
    <xf numFmtId="0" fontId="5" fillId="0" borderId="1" xfId="0" applyFont="1" applyBorder="1"/>
    <xf numFmtId="2" fontId="5" fillId="0" borderId="1" xfId="0" applyNumberFormat="1" applyFont="1" applyBorder="1"/>
    <xf numFmtId="0" fontId="14" fillId="4" borderId="0" xfId="0" applyFont="1" applyFill="1" applyAlignment="1">
      <alignment vertical="center"/>
    </xf>
    <xf numFmtId="0" fontId="8" fillId="0" borderId="19" xfId="0" applyFont="1" applyBorder="1" applyAlignment="1">
      <alignment horizontal="left" indent="1"/>
    </xf>
    <xf numFmtId="1" fontId="5" fillId="0" borderId="10" xfId="0" applyNumberFormat="1" applyFont="1" applyBorder="1"/>
    <xf numFmtId="1" fontId="22" fillId="0" borderId="10" xfId="1" applyNumberFormat="1" applyFont="1" applyBorder="1" applyAlignment="1" applyProtection="1">
      <alignment horizontal="right"/>
    </xf>
    <xf numFmtId="0" fontId="8" fillId="0" borderId="8" xfId="0" applyFont="1" applyBorder="1" applyAlignment="1">
      <alignment horizontal="left" indent="1"/>
    </xf>
    <xf numFmtId="166" fontId="5" fillId="0" borderId="15" xfId="0" applyNumberFormat="1" applyFont="1" applyBorder="1"/>
    <xf numFmtId="2" fontId="5" fillId="0" borderId="10" xfId="0" applyNumberFormat="1" applyFont="1" applyBorder="1"/>
    <xf numFmtId="0" fontId="8" fillId="0" borderId="17" xfId="0" applyFont="1" applyBorder="1" applyAlignment="1">
      <alignment horizontal="left" indent="1"/>
    </xf>
    <xf numFmtId="0" fontId="7" fillId="7" borderId="15" xfId="0" applyFont="1" applyFill="1" applyBorder="1" applyAlignment="1">
      <alignment horizontal="center" vertical="center"/>
    </xf>
    <xf numFmtId="0" fontId="29" fillId="0" borderId="23" xfId="0" applyFont="1" applyBorder="1" applyAlignment="1">
      <alignment horizontal="left" vertical="center" indent="1"/>
    </xf>
    <xf numFmtId="0" fontId="9" fillId="8" borderId="36" xfId="0" applyFont="1" applyFill="1" applyBorder="1" applyAlignment="1">
      <alignment horizontal="center"/>
    </xf>
    <xf numFmtId="2" fontId="5" fillId="0" borderId="6" xfId="0" applyNumberFormat="1" applyFont="1" applyBorder="1" applyAlignment="1">
      <alignment horizontal="center"/>
    </xf>
    <xf numFmtId="0" fontId="9" fillId="9" borderId="39" xfId="0" applyFont="1" applyFill="1" applyBorder="1" applyAlignment="1">
      <alignment horizontal="center"/>
    </xf>
    <xf numFmtId="0" fontId="9" fillId="8" borderId="39" xfId="0" applyFont="1" applyFill="1" applyBorder="1" applyAlignment="1">
      <alignment horizontal="center"/>
    </xf>
    <xf numFmtId="164" fontId="5" fillId="0" borderId="6" xfId="0" applyNumberFormat="1" applyFont="1" applyBorder="1" applyAlignment="1">
      <alignment horizontal="center"/>
    </xf>
    <xf numFmtId="164" fontId="5" fillId="0" borderId="10" xfId="0" applyNumberFormat="1" applyFont="1" applyBorder="1"/>
    <xf numFmtId="0" fontId="9" fillId="9" borderId="42" xfId="0" applyFont="1" applyFill="1" applyBorder="1" applyAlignment="1">
      <alignment horizontal="center"/>
    </xf>
    <xf numFmtId="0" fontId="3" fillId="4" borderId="30" xfId="0" applyFont="1" applyFill="1" applyBorder="1"/>
    <xf numFmtId="0" fontId="3" fillId="4" borderId="31" xfId="0" applyFont="1" applyFill="1" applyBorder="1"/>
    <xf numFmtId="0" fontId="3" fillId="4" borderId="32" xfId="0" applyFont="1" applyFill="1" applyBorder="1"/>
    <xf numFmtId="0" fontId="26" fillId="4" borderId="0" xfId="2" applyFont="1" applyFill="1" applyBorder="1" applyAlignment="1" applyProtection="1"/>
    <xf numFmtId="0" fontId="29" fillId="0" borderId="13" xfId="0" applyFont="1" applyBorder="1" applyAlignment="1">
      <alignment horizontal="left" vertical="center" indent="1"/>
    </xf>
    <xf numFmtId="0" fontId="7" fillId="3" borderId="23" xfId="0" applyFont="1" applyFill="1" applyBorder="1" applyAlignment="1">
      <alignment horizontal="center"/>
    </xf>
    <xf numFmtId="0" fontId="37" fillId="0" borderId="4" xfId="0" applyFont="1" applyBorder="1" applyAlignment="1">
      <alignment horizontal="left" indent="1"/>
    </xf>
    <xf numFmtId="0" fontId="38" fillId="0" borderId="4" xfId="0" applyFont="1" applyBorder="1" applyAlignment="1">
      <alignment horizontal="left" indent="1"/>
    </xf>
    <xf numFmtId="0" fontId="37" fillId="0" borderId="13" xfId="0" applyFont="1" applyBorder="1" applyAlignment="1">
      <alignment horizontal="left" indent="1"/>
    </xf>
    <xf numFmtId="164" fontId="10" fillId="0" borderId="1" xfId="0" applyNumberFormat="1" applyFont="1" applyBorder="1" applyAlignment="1">
      <alignment horizontal="center"/>
    </xf>
    <xf numFmtId="0" fontId="20" fillId="5" borderId="11" xfId="0" applyFont="1" applyFill="1" applyBorder="1" applyAlignment="1">
      <alignment horizontal="center"/>
    </xf>
    <xf numFmtId="0" fontId="20" fillId="5" borderId="14" xfId="0" applyFont="1" applyFill="1" applyBorder="1" applyAlignment="1">
      <alignment horizontal="center"/>
    </xf>
    <xf numFmtId="0" fontId="20" fillId="5" borderId="15" xfId="0" applyFont="1" applyFill="1" applyBorder="1" applyAlignment="1">
      <alignment horizontal="center"/>
    </xf>
    <xf numFmtId="0" fontId="7" fillId="0" borderId="58" xfId="0" applyFont="1" applyBorder="1" applyAlignment="1">
      <alignment horizontal="left" vertical="center" wrapText="1" indent="1"/>
    </xf>
    <xf numFmtId="0" fontId="7" fillId="0" borderId="59" xfId="0" applyFont="1" applyBorder="1" applyAlignment="1">
      <alignment horizontal="left" vertical="center" wrapText="1" indent="1"/>
    </xf>
    <xf numFmtId="0" fontId="7" fillId="0" borderId="60" xfId="0" applyFont="1" applyBorder="1" applyAlignment="1">
      <alignment horizontal="left" vertical="center" wrapText="1" indent="1"/>
    </xf>
    <xf numFmtId="0" fontId="7" fillId="0" borderId="43" xfId="0" applyFont="1" applyBorder="1" applyAlignment="1">
      <alignment horizontal="left" vertical="center" wrapText="1" indent="1"/>
    </xf>
    <xf numFmtId="0" fontId="7" fillId="0" borderId="44" xfId="0" applyFont="1" applyBorder="1" applyAlignment="1">
      <alignment horizontal="left" vertical="center" wrapText="1" indent="1"/>
    </xf>
    <xf numFmtId="0" fontId="7" fillId="0" borderId="45" xfId="0" applyFont="1" applyBorder="1" applyAlignment="1">
      <alignment horizontal="left" vertical="center" wrapText="1" indent="1"/>
    </xf>
    <xf numFmtId="0" fontId="7" fillId="0" borderId="46" xfId="0" applyFont="1" applyBorder="1" applyAlignment="1">
      <alignment horizontal="left" vertical="center" wrapText="1" indent="1"/>
    </xf>
    <xf numFmtId="0" fontId="7" fillId="0" borderId="47" xfId="0" applyFont="1" applyBorder="1" applyAlignment="1">
      <alignment horizontal="left" vertical="center" wrapText="1" indent="1"/>
    </xf>
    <xf numFmtId="0" fontId="7" fillId="0" borderId="48" xfId="0" applyFont="1" applyBorder="1" applyAlignment="1">
      <alignment horizontal="left" vertical="center" wrapText="1" indent="1"/>
    </xf>
    <xf numFmtId="0" fontId="7" fillId="0" borderId="52" xfId="0" applyFont="1" applyBorder="1" applyAlignment="1">
      <alignment horizontal="left" vertical="center" wrapText="1" indent="1"/>
    </xf>
    <xf numFmtId="0" fontId="7" fillId="0" borderId="53" xfId="0" applyFont="1" applyBorder="1" applyAlignment="1">
      <alignment horizontal="left" vertical="center" wrapText="1" indent="1"/>
    </xf>
    <xf numFmtId="0" fontId="7" fillId="0" borderId="54" xfId="0" applyFont="1" applyBorder="1" applyAlignment="1">
      <alignment horizontal="left" vertical="center" wrapText="1" indent="1"/>
    </xf>
    <xf numFmtId="0" fontId="7" fillId="0" borderId="55" xfId="0" applyFont="1" applyBorder="1" applyAlignment="1">
      <alignment horizontal="left" vertical="center" wrapText="1" indent="1"/>
    </xf>
    <xf numFmtId="0" fontId="7" fillId="0" borderId="56" xfId="0" applyFont="1" applyBorder="1" applyAlignment="1">
      <alignment horizontal="left" vertical="center" wrapText="1" indent="1"/>
    </xf>
    <xf numFmtId="0" fontId="7" fillId="0" borderId="57" xfId="0" applyFont="1" applyBorder="1" applyAlignment="1">
      <alignment horizontal="left" vertical="center" wrapText="1" indent="1"/>
    </xf>
    <xf numFmtId="0" fontId="7" fillId="0" borderId="43" xfId="0" quotePrefix="1" applyFont="1" applyBorder="1" applyAlignment="1">
      <alignment horizontal="left" vertical="center" wrapText="1" indent="5"/>
    </xf>
    <xf numFmtId="0" fontId="7" fillId="0" borderId="44" xfId="0" applyFont="1" applyBorder="1" applyAlignment="1">
      <alignment horizontal="left" vertical="center" wrapText="1" indent="5"/>
    </xf>
    <xf numFmtId="0" fontId="7" fillId="0" borderId="45" xfId="0" applyFont="1" applyBorder="1" applyAlignment="1">
      <alignment horizontal="left" vertical="center" wrapText="1" indent="5"/>
    </xf>
    <xf numFmtId="0" fontId="7" fillId="0" borderId="46" xfId="0" applyFont="1" applyBorder="1" applyAlignment="1">
      <alignment horizontal="left" vertical="center" wrapText="1" indent="5"/>
    </xf>
    <xf numFmtId="0" fontId="7" fillId="0" borderId="47" xfId="0" applyFont="1" applyBorder="1" applyAlignment="1">
      <alignment horizontal="left" vertical="center" wrapText="1" indent="5"/>
    </xf>
    <xf numFmtId="0" fontId="7" fillId="0" borderId="48" xfId="0" applyFont="1" applyBorder="1" applyAlignment="1">
      <alignment horizontal="left" vertical="center" wrapText="1" indent="5"/>
    </xf>
    <xf numFmtId="0" fontId="37"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17" fillId="0" borderId="11" xfId="0" applyFont="1" applyBorder="1" applyAlignment="1">
      <alignment horizontal="center"/>
    </xf>
    <xf numFmtId="0" fontId="17" fillId="0" borderId="15" xfId="0" applyFont="1" applyBorder="1" applyAlignment="1">
      <alignment horizontal="center"/>
    </xf>
    <xf numFmtId="0" fontId="9" fillId="0" borderId="2" xfId="0" applyFont="1" applyBorder="1" applyAlignment="1">
      <alignment horizontal="right" indent="1"/>
    </xf>
    <xf numFmtId="0" fontId="9" fillId="0" borderId="4" xfId="0" applyFont="1" applyBorder="1" applyAlignment="1">
      <alignment horizontal="right" indent="1"/>
    </xf>
    <xf numFmtId="0" fontId="9" fillId="0" borderId="16" xfId="0" applyFont="1" applyBorder="1" applyAlignment="1">
      <alignment horizontal="right" indent="1"/>
    </xf>
    <xf numFmtId="0" fontId="9" fillId="0" borderId="33" xfId="0" applyFont="1" applyBorder="1" applyAlignment="1">
      <alignment horizontal="right" indent="1"/>
    </xf>
    <xf numFmtId="0" fontId="9" fillId="0" borderId="17" xfId="0" applyFont="1" applyBorder="1" applyAlignment="1">
      <alignment horizontal="right" indent="1"/>
    </xf>
    <xf numFmtId="0" fontId="9" fillId="0" borderId="21" xfId="0" applyFont="1" applyBorder="1" applyAlignment="1">
      <alignment horizontal="right" indent="1"/>
    </xf>
    <xf numFmtId="0" fontId="9" fillId="0" borderId="22" xfId="0" applyFont="1" applyBorder="1" applyAlignment="1">
      <alignment horizontal="right" indent="1"/>
    </xf>
    <xf numFmtId="0" fontId="8" fillId="0" borderId="16" xfId="0" applyFont="1" applyBorder="1" applyAlignment="1">
      <alignment horizontal="right" indent="1"/>
    </xf>
    <xf numFmtId="0" fontId="9" fillId="0" borderId="0" xfId="0" applyFont="1" applyAlignment="1">
      <alignment horizontal="right" indent="1"/>
    </xf>
    <xf numFmtId="0" fontId="7" fillId="3" borderId="23"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8" fillId="0" borderId="21" xfId="0" applyFont="1" applyBorder="1" applyAlignment="1">
      <alignment horizontal="right" indent="1"/>
    </xf>
    <xf numFmtId="0" fontId="9" fillId="0" borderId="24" xfId="0" applyFont="1" applyBorder="1" applyAlignment="1">
      <alignment horizontal="right" indent="1"/>
    </xf>
    <xf numFmtId="0" fontId="8" fillId="0" borderId="2" xfId="0" applyFont="1" applyBorder="1" applyAlignment="1">
      <alignment horizontal="right" indent="1"/>
    </xf>
    <xf numFmtId="0" fontId="8" fillId="9" borderId="40" xfId="0" applyFont="1" applyFill="1" applyBorder="1" applyAlignment="1">
      <alignment horizontal="right"/>
    </xf>
    <xf numFmtId="0" fontId="8" fillId="9" borderId="41" xfId="0" applyFont="1" applyFill="1" applyBorder="1" applyAlignment="1">
      <alignment horizontal="right"/>
    </xf>
    <xf numFmtId="0" fontId="21" fillId="5" borderId="11" xfId="0" quotePrefix="1" applyFont="1" applyFill="1" applyBorder="1" applyAlignment="1">
      <alignment horizontal="center" vertical="center"/>
    </xf>
    <xf numFmtId="0" fontId="21" fillId="5" borderId="14" xfId="0" quotePrefix="1" applyFont="1" applyFill="1" applyBorder="1" applyAlignment="1">
      <alignment horizontal="center" vertical="center"/>
    </xf>
    <xf numFmtId="0" fontId="21" fillId="5" borderId="20" xfId="0" quotePrefix="1" applyFont="1" applyFill="1" applyBorder="1" applyAlignment="1">
      <alignment horizontal="center" vertical="center"/>
    </xf>
    <xf numFmtId="0" fontId="21" fillId="5" borderId="15" xfId="0" quotePrefix="1"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top" wrapText="1"/>
    </xf>
    <xf numFmtId="0" fontId="7" fillId="3" borderId="8" xfId="0" applyFont="1" applyFill="1" applyBorder="1" applyAlignment="1">
      <alignment horizontal="center" vertical="top" wrapText="1"/>
    </xf>
    <xf numFmtId="0" fontId="7" fillId="3" borderId="6" xfId="0" applyFont="1" applyFill="1" applyBorder="1" applyAlignment="1">
      <alignment horizontal="center" vertical="top" wrapText="1"/>
    </xf>
    <xf numFmtId="0" fontId="7" fillId="3" borderId="21"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3" borderId="16" xfId="0" applyFont="1" applyFill="1" applyBorder="1" applyAlignment="1">
      <alignment horizontal="center" vertical="top" wrapText="1"/>
    </xf>
    <xf numFmtId="0" fontId="7" fillId="3" borderId="7" xfId="0" applyFont="1" applyFill="1" applyBorder="1" applyAlignment="1">
      <alignment horizontal="center" vertical="center" wrapText="1"/>
    </xf>
    <xf numFmtId="0" fontId="7" fillId="7" borderId="11" xfId="0" applyFont="1" applyFill="1" applyBorder="1" applyAlignment="1">
      <alignment horizontal="center"/>
    </xf>
    <xf numFmtId="0" fontId="7" fillId="7" borderId="9" xfId="0" applyFont="1" applyFill="1" applyBorder="1" applyAlignment="1">
      <alignment horizontal="center"/>
    </xf>
    <xf numFmtId="0" fontId="28" fillId="4" borderId="25" xfId="2" applyFont="1" applyFill="1" applyBorder="1" applyAlignment="1" applyProtection="1">
      <alignment horizontal="center" vertical="center"/>
    </xf>
    <xf numFmtId="0" fontId="28" fillId="4" borderId="26" xfId="2" applyFont="1" applyFill="1" applyBorder="1" applyAlignment="1" applyProtection="1">
      <alignment horizontal="center" vertical="center"/>
    </xf>
    <xf numFmtId="0" fontId="28" fillId="4" borderId="27" xfId="2" applyFont="1" applyFill="1" applyBorder="1" applyAlignment="1" applyProtection="1">
      <alignment horizontal="center" vertical="center"/>
    </xf>
    <xf numFmtId="0" fontId="28" fillId="4" borderId="28" xfId="2" applyFont="1" applyFill="1" applyBorder="1" applyAlignment="1" applyProtection="1">
      <alignment horizontal="center" vertical="center"/>
    </xf>
    <xf numFmtId="0" fontId="28" fillId="4" borderId="0" xfId="2" applyFont="1" applyFill="1" applyBorder="1" applyAlignment="1" applyProtection="1">
      <alignment horizontal="center" vertical="center"/>
    </xf>
    <xf numFmtId="0" fontId="28" fillId="4" borderId="29" xfId="2" applyFont="1" applyFill="1" applyBorder="1" applyAlignment="1" applyProtection="1">
      <alignment horizontal="center" vertical="center"/>
    </xf>
    <xf numFmtId="0" fontId="27" fillId="4" borderId="28" xfId="0" applyFont="1" applyFill="1" applyBorder="1" applyAlignment="1">
      <alignment horizontal="center" vertical="center"/>
    </xf>
    <xf numFmtId="0" fontId="27" fillId="4" borderId="0" xfId="0" applyFont="1" applyFill="1" applyAlignment="1">
      <alignment horizontal="center" vertical="center"/>
    </xf>
    <xf numFmtId="0" fontId="27" fillId="4" borderId="29" xfId="0" applyFont="1" applyFill="1" applyBorder="1" applyAlignment="1">
      <alignment horizontal="center" vertical="center"/>
    </xf>
    <xf numFmtId="0" fontId="27" fillId="4" borderId="28" xfId="0" applyFont="1" applyFill="1" applyBorder="1" applyAlignment="1">
      <alignment horizontal="center"/>
    </xf>
    <xf numFmtId="0" fontId="27" fillId="4" borderId="0" xfId="0" applyFont="1" applyFill="1" applyAlignment="1">
      <alignment horizontal="center"/>
    </xf>
    <xf numFmtId="0" fontId="27" fillId="4" borderId="29" xfId="0" applyFont="1" applyFill="1" applyBorder="1" applyAlignment="1">
      <alignment horizontal="center"/>
    </xf>
    <xf numFmtId="0" fontId="8" fillId="8" borderId="37" xfId="0" applyFont="1" applyFill="1" applyBorder="1" applyAlignment="1">
      <alignment horizontal="right"/>
    </xf>
    <xf numFmtId="0" fontId="8" fillId="8" borderId="38" xfId="0" applyFont="1" applyFill="1" applyBorder="1" applyAlignment="1">
      <alignment horizontal="right"/>
    </xf>
    <xf numFmtId="0" fontId="7" fillId="7" borderId="20" xfId="0" applyFont="1" applyFill="1" applyBorder="1" applyAlignment="1">
      <alignment horizontal="center"/>
    </xf>
    <xf numFmtId="0" fontId="8" fillId="8" borderId="34" xfId="0" applyFont="1" applyFill="1" applyBorder="1" applyAlignment="1">
      <alignment horizontal="right"/>
    </xf>
    <xf numFmtId="0" fontId="8" fillId="8" borderId="35" xfId="0" applyFont="1" applyFill="1" applyBorder="1" applyAlignment="1">
      <alignment horizontal="right"/>
    </xf>
    <xf numFmtId="0" fontId="8" fillId="9" borderId="37" xfId="0" applyFont="1" applyFill="1" applyBorder="1" applyAlignment="1">
      <alignment horizontal="right"/>
    </xf>
    <xf numFmtId="0" fontId="8" fillId="9" borderId="38" xfId="0" applyFont="1" applyFill="1" applyBorder="1" applyAlignment="1">
      <alignment horizontal="right"/>
    </xf>
    <xf numFmtId="0" fontId="23" fillId="5" borderId="11" xfId="0" applyFont="1" applyFill="1" applyBorder="1" applyAlignment="1">
      <alignment horizontal="center"/>
    </xf>
    <xf numFmtId="0" fontId="23" fillId="5" borderId="14" xfId="0" applyFont="1" applyFill="1" applyBorder="1" applyAlignment="1">
      <alignment horizontal="center"/>
    </xf>
    <xf numFmtId="0" fontId="23" fillId="5" borderId="15" xfId="0" applyFont="1" applyFill="1" applyBorder="1" applyAlignment="1">
      <alignment horizontal="center"/>
    </xf>
  </cellXfs>
  <cellStyles count="4">
    <cellStyle name="Comma" xfId="1" builtinId="3"/>
    <cellStyle name="Hyperlink" xfId="2" builtinId="8"/>
    <cellStyle name="Normal" xfId="0" builtinId="0"/>
    <cellStyle name="Percent" xfId="3" builtinId="5"/>
  </cellStyles>
  <dxfs count="8">
    <dxf>
      <fill>
        <patternFill>
          <bgColor theme="0" tint="-0.14996795556505021"/>
        </patternFill>
      </fill>
    </dxf>
    <dxf>
      <fill>
        <patternFill>
          <bgColor theme="0" tint="-0.14996795556505021"/>
        </patternFill>
      </fill>
    </dxf>
    <dxf>
      <fill>
        <patternFill>
          <bgColor theme="0" tint="-0.14996795556505021"/>
        </patternFill>
      </fill>
    </dxf>
    <dxf>
      <font>
        <color rgb="FFFF0000"/>
      </font>
      <fill>
        <patternFill>
          <bgColor theme="0" tint="-0.14996795556505021"/>
        </patternFill>
      </fill>
    </dxf>
    <dxf>
      <fill>
        <patternFill>
          <bgColor theme="0" tint="-0.14996795556505021"/>
        </patternFill>
      </fill>
    </dxf>
    <dxf>
      <font>
        <strike val="0"/>
        <color theme="2" tint="-9.9948118533890809E-2"/>
      </font>
      <fill>
        <patternFill>
          <fgColor theme="0" tint="-0.14990691854609822"/>
          <bgColor theme="2" tint="-9.9948118533890809E-2"/>
        </patternFill>
      </fill>
    </dxf>
    <dxf>
      <font>
        <strike val="0"/>
        <color theme="2" tint="-9.9948118533890809E-2"/>
      </font>
      <fill>
        <patternFill>
          <fgColor theme="0" tint="-0.14990691854609822"/>
          <bgColor theme="2" tint="-9.9948118533890809E-2"/>
        </patternFill>
      </fill>
    </dxf>
    <dxf>
      <fill>
        <patternFill>
          <bgColor theme="0" tint="-0.14996795556505021"/>
        </patternFill>
      </fill>
    </dxf>
  </dxfs>
  <tableStyles count="0" defaultTableStyle="TableStyleMedium9" defaultPivotStyle="PivotStyleLight16"/>
  <colors>
    <mruColors>
      <color rgb="FF33CCCC"/>
      <color rgb="FFCCFFFF"/>
      <color rgb="FF66FFFF"/>
      <color rgb="FFCCFFCC"/>
      <color rgb="FFFFFFCC"/>
      <color rgb="FFFFFF99"/>
      <color rgb="FF0000FF"/>
      <color rgb="FFFF0D0D"/>
      <color rgb="FFB0A674"/>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2060"/>
                </a:solidFill>
                <a:latin typeface="Arial"/>
                <a:ea typeface="Arial"/>
                <a:cs typeface="Arial"/>
              </a:defRPr>
            </a:pPr>
            <a:r>
              <a:rPr lang="en-US" sz="1050">
                <a:solidFill>
                  <a:srgbClr val="002060"/>
                </a:solidFill>
              </a:rPr>
              <a:t>Rotary Weapon Spin-Up</a:t>
            </a:r>
          </a:p>
        </c:rich>
      </c:tx>
      <c:layout>
        <c:manualLayout>
          <c:xMode val="edge"/>
          <c:yMode val="edge"/>
          <c:x val="0.27874155164059244"/>
          <c:y val="2.6470035539672216E-2"/>
        </c:manualLayout>
      </c:layout>
      <c:overlay val="0"/>
      <c:spPr>
        <a:noFill/>
        <a:ln w="25400">
          <a:noFill/>
        </a:ln>
      </c:spPr>
    </c:title>
    <c:autoTitleDeleted val="0"/>
    <c:plotArea>
      <c:layout>
        <c:manualLayout>
          <c:layoutTarget val="inner"/>
          <c:xMode val="edge"/>
          <c:yMode val="edge"/>
          <c:x val="0.14468095307456733"/>
          <c:y val="9.1912851171381343E-2"/>
          <c:w val="0.71420530954911665"/>
          <c:h val="0.79692621755614002"/>
        </c:manualLayout>
      </c:layout>
      <c:scatterChart>
        <c:scatterStyle val="lineMarker"/>
        <c:varyColors val="0"/>
        <c:ser>
          <c:idx val="0"/>
          <c:order val="0"/>
          <c:tx>
            <c:v>Speed</c:v>
          </c:tx>
          <c:spPr>
            <a:ln w="25400">
              <a:solidFill>
                <a:srgbClr val="FF0000"/>
              </a:solidFill>
              <a:prstDash val="solid"/>
            </a:ln>
          </c:spPr>
          <c:marker>
            <c:symbol val="diamond"/>
            <c:size val="6"/>
            <c:spPr>
              <a:solidFill>
                <a:srgbClr val="FFFFFF"/>
              </a:solidFill>
              <a:ln>
                <a:solidFill>
                  <a:srgbClr val="FF0000"/>
                </a:solidFill>
                <a:prstDash val="solid"/>
              </a:ln>
            </c:spPr>
          </c:marker>
          <c:xVal>
            <c:numRef>
              <c:f>'Data Table'!$G$6:$G$24</c:f>
              <c:numCache>
                <c:formatCode>0.00</c:formatCode>
                <c:ptCount val="19"/>
                <c:pt idx="0">
                  <c:v>0.19777696816024884</c:v>
                </c:pt>
                <c:pt idx="1">
                  <c:v>0.40624965893520154</c:v>
                </c:pt>
                <c:pt idx="2">
                  <c:v>0.62664138711512518</c:v>
                </c:pt>
                <c:pt idx="3">
                  <c:v>0.8603981391795098</c:v>
                </c:pt>
                <c:pt idx="4">
                  <c:v>0.9226101358573493</c:v>
                </c:pt>
                <c:pt idx="5">
                  <c:v>0.98911590971280472</c:v>
                </c:pt>
                <c:pt idx="6">
                  <c:v>1.0605523919278397</c:v>
                </c:pt>
                <c:pt idx="7">
                  <c:v>1.1377096706522267</c:v>
                </c:pt>
                <c:pt idx="8">
                  <c:v>1.2215844077983466</c:v>
                </c:pt>
                <c:pt idx="9">
                  <c:v>1.3134587873911432</c:v>
                </c:pt>
                <c:pt idx="10">
                  <c:v>1.4150212021249438</c:v>
                </c:pt>
                <c:pt idx="11">
                  <c:v>1.5285583221860206</c:v>
                </c:pt>
                <c:pt idx="12">
                  <c:v>1.6572760927193158</c:v>
                </c:pt>
                <c:pt idx="13">
                  <c:v>1.8058698536587376</c:v>
                </c:pt>
                <c:pt idx="14">
                  <c:v>1.9816189703976543</c:v>
                </c:pt>
                <c:pt idx="15">
                  <c:v>2.196718505192532</c:v>
                </c:pt>
                <c:pt idx="16">
                  <c:v>2.4740300366652486</c:v>
                </c:pt>
                <c:pt idx="17">
                  <c:v>2.8648786881990436</c:v>
                </c:pt>
                <c:pt idx="18">
                  <c:v>3.5330388712055534</c:v>
                </c:pt>
              </c:numCache>
            </c:numRef>
          </c:xVal>
          <c:yVal>
            <c:numRef>
              <c:f>'Data Table'!$H$6:$H$24</c:f>
              <c:numCache>
                <c:formatCode>0</c:formatCode>
                <c:ptCount val="19"/>
                <c:pt idx="0">
                  <c:v>407</c:v>
                </c:pt>
                <c:pt idx="1">
                  <c:v>814</c:v>
                </c:pt>
                <c:pt idx="2">
                  <c:v>1221</c:v>
                </c:pt>
                <c:pt idx="3">
                  <c:v>1628</c:v>
                </c:pt>
                <c:pt idx="4">
                  <c:v>2035</c:v>
                </c:pt>
                <c:pt idx="5">
                  <c:v>2442</c:v>
                </c:pt>
                <c:pt idx="6">
                  <c:v>2849</c:v>
                </c:pt>
                <c:pt idx="7">
                  <c:v>3256</c:v>
                </c:pt>
                <c:pt idx="8">
                  <c:v>3663</c:v>
                </c:pt>
                <c:pt idx="9">
                  <c:v>4070</c:v>
                </c:pt>
                <c:pt idx="10">
                  <c:v>4477</c:v>
                </c:pt>
                <c:pt idx="11">
                  <c:v>4884</c:v>
                </c:pt>
                <c:pt idx="12">
                  <c:v>5291</c:v>
                </c:pt>
                <c:pt idx="13">
                  <c:v>5698</c:v>
                </c:pt>
                <c:pt idx="14">
                  <c:v>6105</c:v>
                </c:pt>
                <c:pt idx="15">
                  <c:v>6512</c:v>
                </c:pt>
                <c:pt idx="16">
                  <c:v>6919</c:v>
                </c:pt>
                <c:pt idx="17">
                  <c:v>7326</c:v>
                </c:pt>
                <c:pt idx="18">
                  <c:v>7733</c:v>
                </c:pt>
              </c:numCache>
            </c:numRef>
          </c:yVal>
          <c:smooth val="1"/>
          <c:extLst>
            <c:ext xmlns:c16="http://schemas.microsoft.com/office/drawing/2014/chart" uri="{C3380CC4-5D6E-409C-BE32-E72D297353CC}">
              <c16:uniqueId val="{00000000-4C9D-4E33-A879-C694528A4F3A}"/>
            </c:ext>
          </c:extLst>
        </c:ser>
        <c:dLbls>
          <c:showLegendKey val="0"/>
          <c:showVal val="0"/>
          <c:showCatName val="0"/>
          <c:showSerName val="0"/>
          <c:showPercent val="0"/>
          <c:showBubbleSize val="0"/>
        </c:dLbls>
        <c:axId val="93661056"/>
        <c:axId val="95236480"/>
      </c:scatterChart>
      <c:scatterChart>
        <c:scatterStyle val="lineMarker"/>
        <c:varyColors val="0"/>
        <c:ser>
          <c:idx val="1"/>
          <c:order val="1"/>
          <c:tx>
            <c:v>Energy</c:v>
          </c:tx>
          <c:spPr>
            <a:ln w="25400">
              <a:solidFill>
                <a:srgbClr val="0000FF"/>
              </a:solidFill>
              <a:prstDash val="solid"/>
            </a:ln>
          </c:spPr>
          <c:marker>
            <c:symbol val="square"/>
            <c:size val="4"/>
            <c:spPr>
              <a:solidFill>
                <a:srgbClr val="FFFFFF"/>
              </a:solidFill>
              <a:ln>
                <a:solidFill>
                  <a:srgbClr val="0000FF"/>
                </a:solidFill>
                <a:prstDash val="solid"/>
              </a:ln>
            </c:spPr>
          </c:marker>
          <c:xVal>
            <c:numRef>
              <c:f>'Data Table'!$G$6:$G$24</c:f>
              <c:numCache>
                <c:formatCode>0.00</c:formatCode>
                <c:ptCount val="19"/>
                <c:pt idx="0">
                  <c:v>0.19777696816024884</c:v>
                </c:pt>
                <c:pt idx="1">
                  <c:v>0.40624965893520154</c:v>
                </c:pt>
                <c:pt idx="2">
                  <c:v>0.62664138711512518</c:v>
                </c:pt>
                <c:pt idx="3">
                  <c:v>0.8603981391795098</c:v>
                </c:pt>
                <c:pt idx="4">
                  <c:v>0.9226101358573493</c:v>
                </c:pt>
                <c:pt idx="5">
                  <c:v>0.98911590971280472</c:v>
                </c:pt>
                <c:pt idx="6">
                  <c:v>1.0605523919278397</c:v>
                </c:pt>
                <c:pt idx="7">
                  <c:v>1.1377096706522267</c:v>
                </c:pt>
                <c:pt idx="8">
                  <c:v>1.2215844077983466</c:v>
                </c:pt>
                <c:pt idx="9">
                  <c:v>1.3134587873911432</c:v>
                </c:pt>
                <c:pt idx="10">
                  <c:v>1.4150212021249438</c:v>
                </c:pt>
                <c:pt idx="11">
                  <c:v>1.5285583221860206</c:v>
                </c:pt>
                <c:pt idx="12">
                  <c:v>1.6572760927193158</c:v>
                </c:pt>
                <c:pt idx="13">
                  <c:v>1.8058698536587376</c:v>
                </c:pt>
                <c:pt idx="14">
                  <c:v>1.9816189703976543</c:v>
                </c:pt>
                <c:pt idx="15">
                  <c:v>2.196718505192532</c:v>
                </c:pt>
                <c:pt idx="16">
                  <c:v>2.4740300366652486</c:v>
                </c:pt>
                <c:pt idx="17">
                  <c:v>2.8648786881990436</c:v>
                </c:pt>
                <c:pt idx="18">
                  <c:v>3.5330388712055534</c:v>
                </c:pt>
              </c:numCache>
            </c:numRef>
          </c:xVal>
          <c:yVal>
            <c:numRef>
              <c:f>'Data Table'!$I$6:$I$24</c:f>
              <c:numCache>
                <c:formatCode>0</c:formatCode>
                <c:ptCount val="19"/>
                <c:pt idx="0">
                  <c:v>8.2567264352403118</c:v>
                </c:pt>
                <c:pt idx="1">
                  <c:v>33.026905740961247</c:v>
                </c:pt>
                <c:pt idx="2">
                  <c:v>74.31053791716279</c:v>
                </c:pt>
                <c:pt idx="3">
                  <c:v>132.10762296384499</c:v>
                </c:pt>
                <c:pt idx="4">
                  <c:v>206.41816088100776</c:v>
                </c:pt>
                <c:pt idx="5">
                  <c:v>297.24215166865116</c:v>
                </c:pt>
                <c:pt idx="6">
                  <c:v>404.57959532677523</c:v>
                </c:pt>
                <c:pt idx="7">
                  <c:v>528.43049185537996</c:v>
                </c:pt>
                <c:pt idx="8">
                  <c:v>668.79484125446527</c:v>
                </c:pt>
                <c:pt idx="9">
                  <c:v>825.67264352403106</c:v>
                </c:pt>
                <c:pt idx="10">
                  <c:v>999.06389866407767</c:v>
                </c:pt>
                <c:pt idx="11">
                  <c:v>1188.9686066746046</c:v>
                </c:pt>
                <c:pt idx="12">
                  <c:v>1395.3867675556128</c:v>
                </c:pt>
                <c:pt idx="13">
                  <c:v>1618.3183813071009</c:v>
                </c:pt>
                <c:pt idx="14">
                  <c:v>1857.7634479290703</c:v>
                </c:pt>
                <c:pt idx="15">
                  <c:v>2113.7219674215198</c:v>
                </c:pt>
                <c:pt idx="16">
                  <c:v>2386.1939397844508</c:v>
                </c:pt>
                <c:pt idx="17">
                  <c:v>2675.1793650178611</c:v>
                </c:pt>
                <c:pt idx="18">
                  <c:v>2980.6782431217521</c:v>
                </c:pt>
              </c:numCache>
            </c:numRef>
          </c:yVal>
          <c:smooth val="1"/>
          <c:extLst>
            <c:ext xmlns:c16="http://schemas.microsoft.com/office/drawing/2014/chart" uri="{C3380CC4-5D6E-409C-BE32-E72D297353CC}">
              <c16:uniqueId val="{00000001-4C9D-4E33-A879-C694528A4F3A}"/>
            </c:ext>
          </c:extLst>
        </c:ser>
        <c:ser>
          <c:idx val="2"/>
          <c:order val="2"/>
          <c:tx>
            <c:v>Current</c:v>
          </c:tx>
          <c:spPr>
            <a:ln>
              <a:solidFill>
                <a:srgbClr val="92D050"/>
              </a:solidFill>
            </a:ln>
          </c:spPr>
          <c:marker>
            <c:symbol val="none"/>
          </c:marker>
          <c:xVal>
            <c:numRef>
              <c:f>'Data Table'!$G$6:$G$24</c:f>
              <c:numCache>
                <c:formatCode>0.00</c:formatCode>
                <c:ptCount val="19"/>
                <c:pt idx="0">
                  <c:v>0.19777696816024884</c:v>
                </c:pt>
                <c:pt idx="1">
                  <c:v>0.40624965893520154</c:v>
                </c:pt>
                <c:pt idx="2">
                  <c:v>0.62664138711512518</c:v>
                </c:pt>
                <c:pt idx="3">
                  <c:v>0.8603981391795098</c:v>
                </c:pt>
                <c:pt idx="4">
                  <c:v>0.9226101358573493</c:v>
                </c:pt>
                <c:pt idx="5">
                  <c:v>0.98911590971280472</c:v>
                </c:pt>
                <c:pt idx="6">
                  <c:v>1.0605523919278397</c:v>
                </c:pt>
                <c:pt idx="7">
                  <c:v>1.1377096706522267</c:v>
                </c:pt>
                <c:pt idx="8">
                  <c:v>1.2215844077983466</c:v>
                </c:pt>
                <c:pt idx="9">
                  <c:v>1.3134587873911432</c:v>
                </c:pt>
                <c:pt idx="10">
                  <c:v>1.4150212021249438</c:v>
                </c:pt>
                <c:pt idx="11">
                  <c:v>1.5285583221860206</c:v>
                </c:pt>
                <c:pt idx="12">
                  <c:v>1.6572760927193158</c:v>
                </c:pt>
                <c:pt idx="13">
                  <c:v>1.8058698536587376</c:v>
                </c:pt>
                <c:pt idx="14">
                  <c:v>1.9816189703976543</c:v>
                </c:pt>
                <c:pt idx="15">
                  <c:v>2.196718505192532</c:v>
                </c:pt>
                <c:pt idx="16">
                  <c:v>2.4740300366652486</c:v>
                </c:pt>
                <c:pt idx="17">
                  <c:v>2.8648786881990436</c:v>
                </c:pt>
                <c:pt idx="18">
                  <c:v>3.5330388712055534</c:v>
                </c:pt>
              </c:numCache>
            </c:numRef>
          </c:xVal>
          <c:yVal>
            <c:numRef>
              <c:f>'Data Table'!$J$6:$J$24</c:f>
              <c:numCache>
                <c:formatCode>0</c:formatCode>
                <c:ptCount val="19"/>
                <c:pt idx="0">
                  <c:v>73.127600554785019</c:v>
                </c:pt>
                <c:pt idx="1">
                  <c:v>69.278779472954227</c:v>
                </c:pt>
                <c:pt idx="2">
                  <c:v>65.429958391123435</c:v>
                </c:pt>
                <c:pt idx="3">
                  <c:v>246.3245492371706</c:v>
                </c:pt>
                <c:pt idx="4">
                  <c:v>230.92926490984743</c:v>
                </c:pt>
                <c:pt idx="5">
                  <c:v>215.53398058252426</c:v>
                </c:pt>
                <c:pt idx="6">
                  <c:v>200.13869625520113</c:v>
                </c:pt>
                <c:pt idx="7">
                  <c:v>184.74341192787793</c:v>
                </c:pt>
                <c:pt idx="8">
                  <c:v>169.34812760055479</c:v>
                </c:pt>
                <c:pt idx="9">
                  <c:v>153.95284327323162</c:v>
                </c:pt>
                <c:pt idx="10">
                  <c:v>138.55755894590845</c:v>
                </c:pt>
                <c:pt idx="11">
                  <c:v>123.1622746185853</c:v>
                </c:pt>
                <c:pt idx="12">
                  <c:v>107.76699029126213</c:v>
                </c:pt>
                <c:pt idx="13">
                  <c:v>92.371705963938993</c:v>
                </c:pt>
                <c:pt idx="14">
                  <c:v>76.976421636615811</c:v>
                </c:pt>
                <c:pt idx="15">
                  <c:v>61.581137309292636</c:v>
                </c:pt>
                <c:pt idx="16">
                  <c:v>46.185852981969497</c:v>
                </c:pt>
                <c:pt idx="17">
                  <c:v>30.790568654646318</c:v>
                </c:pt>
                <c:pt idx="18">
                  <c:v>15.395284327323175</c:v>
                </c:pt>
              </c:numCache>
            </c:numRef>
          </c:yVal>
          <c:smooth val="1"/>
          <c:extLst>
            <c:ext xmlns:c16="http://schemas.microsoft.com/office/drawing/2014/chart" uri="{C3380CC4-5D6E-409C-BE32-E72D297353CC}">
              <c16:uniqueId val="{00000002-4C9D-4E33-A879-C694528A4F3A}"/>
            </c:ext>
          </c:extLst>
        </c:ser>
        <c:dLbls>
          <c:showLegendKey val="0"/>
          <c:showVal val="0"/>
          <c:showCatName val="0"/>
          <c:showSerName val="0"/>
          <c:showPercent val="0"/>
          <c:showBubbleSize val="0"/>
        </c:dLbls>
        <c:axId val="95239168"/>
        <c:axId val="96490624"/>
      </c:scatterChart>
      <c:valAx>
        <c:axId val="93661056"/>
        <c:scaling>
          <c:orientation val="minMax"/>
        </c:scaling>
        <c:delete val="0"/>
        <c:axPos val="b"/>
        <c:title>
          <c:tx>
            <c:rich>
              <a:bodyPr/>
              <a:lstStyle/>
              <a:p>
                <a:pPr>
                  <a:defRPr sz="1000" b="1" i="0" u="none" strike="noStrike" baseline="0">
                    <a:solidFill>
                      <a:srgbClr val="002060"/>
                    </a:solidFill>
                    <a:latin typeface="Arial"/>
                    <a:ea typeface="Arial"/>
                    <a:cs typeface="Arial"/>
                  </a:defRPr>
                </a:pPr>
                <a:r>
                  <a:rPr lang="en-US" sz="1000" b="1">
                    <a:solidFill>
                      <a:srgbClr val="002060"/>
                    </a:solidFill>
                  </a:rPr>
                  <a:t>Seconds</a:t>
                </a:r>
              </a:p>
            </c:rich>
          </c:tx>
          <c:layout>
            <c:manualLayout>
              <c:xMode val="edge"/>
              <c:yMode val="edge"/>
              <c:x val="0.42791762013730045"/>
              <c:y val="0.9389020122484704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5236480"/>
        <c:crosses val="autoZero"/>
        <c:crossBetween val="midCat"/>
      </c:valAx>
      <c:valAx>
        <c:axId val="95236480"/>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FF0000"/>
                    </a:solidFill>
                    <a:latin typeface="Arial"/>
                    <a:ea typeface="Arial"/>
                    <a:cs typeface="Arial"/>
                  </a:defRPr>
                </a:pPr>
                <a:r>
                  <a:rPr lang="en-US" sz="1000" b="1">
                    <a:solidFill>
                      <a:srgbClr val="FF0000"/>
                    </a:solidFill>
                  </a:rPr>
                  <a:t>RPM</a:t>
                </a:r>
              </a:p>
            </c:rich>
          </c:tx>
          <c:layout>
            <c:manualLayout>
              <c:xMode val="edge"/>
              <c:yMode val="edge"/>
              <c:x val="1.1441647597254004E-2"/>
              <c:y val="0.4463288616700703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FF0000"/>
                </a:solidFill>
                <a:latin typeface="Arial"/>
                <a:ea typeface="Arial"/>
                <a:cs typeface="Arial"/>
              </a:defRPr>
            </a:pPr>
            <a:endParaRPr lang="en-US"/>
          </a:p>
        </c:txPr>
        <c:crossAx val="93661056"/>
        <c:crosses val="autoZero"/>
        <c:crossBetween val="midCat"/>
      </c:valAx>
      <c:valAx>
        <c:axId val="95239168"/>
        <c:scaling>
          <c:orientation val="minMax"/>
        </c:scaling>
        <c:delete val="1"/>
        <c:axPos val="b"/>
        <c:numFmt formatCode="0.00" sourceLinked="1"/>
        <c:majorTickMark val="out"/>
        <c:minorTickMark val="none"/>
        <c:tickLblPos val="none"/>
        <c:crossAx val="96490624"/>
        <c:crosses val="autoZero"/>
        <c:crossBetween val="midCat"/>
      </c:valAx>
      <c:valAx>
        <c:axId val="96490624"/>
        <c:scaling>
          <c:orientation val="minMax"/>
        </c:scaling>
        <c:delete val="0"/>
        <c:axPos val="r"/>
        <c:title>
          <c:tx>
            <c:rich>
              <a:bodyPr/>
              <a:lstStyle/>
              <a:p>
                <a:pPr>
                  <a:defRPr sz="1000" b="1" i="0" u="none" strike="noStrike" baseline="0">
                    <a:solidFill>
                      <a:schemeClr val="tx2">
                        <a:lumMod val="75000"/>
                      </a:schemeClr>
                    </a:solidFill>
                    <a:latin typeface="Arial"/>
                    <a:ea typeface="Arial"/>
                    <a:cs typeface="Arial"/>
                  </a:defRPr>
                </a:pPr>
                <a:r>
                  <a:rPr lang="en-US" sz="1000" b="1">
                    <a:solidFill>
                      <a:srgbClr val="0000FF"/>
                    </a:solidFill>
                  </a:rPr>
                  <a:t>Joules</a:t>
                </a:r>
                <a:r>
                  <a:rPr lang="en-US" sz="1000" b="1">
                    <a:solidFill>
                      <a:schemeClr val="tx2">
                        <a:lumMod val="75000"/>
                      </a:schemeClr>
                    </a:solidFill>
                  </a:rPr>
                  <a:t> </a:t>
                </a:r>
                <a:r>
                  <a:rPr lang="en-US" sz="1000" b="1">
                    <a:solidFill>
                      <a:schemeClr val="tx1"/>
                    </a:solidFill>
                  </a:rPr>
                  <a:t>:</a:t>
                </a:r>
                <a:r>
                  <a:rPr lang="en-US" sz="1000" b="1" baseline="0">
                    <a:solidFill>
                      <a:schemeClr val="tx2">
                        <a:lumMod val="75000"/>
                      </a:schemeClr>
                    </a:solidFill>
                  </a:rPr>
                  <a:t> </a:t>
                </a:r>
                <a:r>
                  <a:rPr lang="en-US" sz="1000" b="1" baseline="0">
                    <a:solidFill>
                      <a:srgbClr val="92D050"/>
                    </a:solidFill>
                  </a:rPr>
                  <a:t>Amps</a:t>
                </a:r>
              </a:p>
            </c:rich>
          </c:tx>
          <c:layout>
            <c:manualLayout>
              <c:xMode val="edge"/>
              <c:yMode val="edge"/>
              <c:x val="0.94279165766611517"/>
              <c:y val="0.34815234211891249"/>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chemeClr val="tx1">
                    <a:lumMod val="95000"/>
                    <a:lumOff val="5000"/>
                  </a:schemeClr>
                </a:solidFill>
                <a:latin typeface="Arial"/>
                <a:ea typeface="Arial"/>
                <a:cs typeface="Arial"/>
              </a:defRPr>
            </a:pPr>
            <a:endParaRPr lang="en-US"/>
          </a:p>
        </c:txPr>
        <c:crossAx val="95239168"/>
        <c:crosses val="max"/>
        <c:crossBetween val="midCat"/>
      </c:valAx>
      <c:spPr>
        <a:solidFill>
          <a:schemeClr val="bg1"/>
        </a:solidFill>
        <a:ln w="12700">
          <a:solidFill>
            <a:srgbClr val="808080"/>
          </a:solidFill>
          <a:prstDash val="solid"/>
        </a:ln>
      </c:spPr>
    </c:plotArea>
    <c:legend>
      <c:legendPos val="r"/>
      <c:legendEntry>
        <c:idx val="0"/>
        <c:txPr>
          <a:bodyPr/>
          <a:lstStyle/>
          <a:p>
            <a:pPr>
              <a:defRPr sz="700" b="0" i="0" u="none" strike="noStrike" baseline="0">
                <a:solidFill>
                  <a:srgbClr val="000000"/>
                </a:solidFill>
                <a:latin typeface="Arial"/>
                <a:ea typeface="Arial"/>
                <a:cs typeface="Arial"/>
              </a:defRPr>
            </a:pPr>
            <a:endParaRPr lang="en-US"/>
          </a:p>
        </c:txPr>
      </c:legendEntry>
      <c:legendEntry>
        <c:idx val="1"/>
        <c:txPr>
          <a:bodyPr/>
          <a:lstStyle/>
          <a:p>
            <a:pPr>
              <a:defRPr sz="700" b="0" i="0" u="none" strike="noStrike" baseline="0">
                <a:solidFill>
                  <a:srgbClr val="000000"/>
                </a:solidFill>
                <a:latin typeface="Arial"/>
                <a:ea typeface="Arial"/>
                <a:cs typeface="Arial"/>
              </a:defRPr>
            </a:pPr>
            <a:endParaRPr lang="en-US"/>
          </a:p>
        </c:txPr>
      </c:legendEntry>
      <c:legendEntry>
        <c:idx val="2"/>
        <c:txPr>
          <a:bodyPr/>
          <a:lstStyle/>
          <a:p>
            <a:pPr>
              <a:defRPr sz="700" b="0" i="0" u="none" strike="noStrike" baseline="0">
                <a:solidFill>
                  <a:srgbClr val="000000"/>
                </a:solidFill>
                <a:latin typeface="Arial"/>
                <a:ea typeface="Arial"/>
                <a:cs typeface="Arial"/>
              </a:defRPr>
            </a:pPr>
            <a:endParaRPr lang="en-US"/>
          </a:p>
        </c:txPr>
      </c:legendEntry>
      <c:layout>
        <c:manualLayout>
          <c:xMode val="edge"/>
          <c:yMode val="edge"/>
          <c:x val="0.64470245017428396"/>
          <c:y val="0.50940863872895559"/>
          <c:w val="0.18800112670859601"/>
          <c:h val="0.19327146179122273"/>
        </c:manualLayout>
      </c:layout>
      <c:overlay val="0"/>
      <c:spPr>
        <a:solidFill>
          <a:srgbClr val="FFFFFF"/>
        </a:solidFill>
        <a:ln w="3175">
          <a:solidFill>
            <a:srgbClr val="000000"/>
          </a:solidFill>
          <a:prstDash val="solid"/>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CC"/>
    </a:solidFill>
    <a:ln w="3175">
      <a:solidFill>
        <a:srgbClr val="000000"/>
      </a:solidFill>
      <a:prstDash val="solid"/>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133" r="0.75000000000000133"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Current</a:t>
            </a:r>
          </a:p>
        </c:rich>
      </c:tx>
      <c:layout>
        <c:manualLayout>
          <c:xMode val="edge"/>
          <c:yMode val="edge"/>
          <c:x val="0.42231763352415641"/>
          <c:y val="9.9502487562189261E-3"/>
        </c:manualLayout>
      </c:layout>
      <c:overlay val="0"/>
    </c:title>
    <c:autoTitleDeleted val="0"/>
    <c:plotArea>
      <c:layout>
        <c:manualLayout>
          <c:layoutTarget val="inner"/>
          <c:xMode val="edge"/>
          <c:yMode val="edge"/>
          <c:x val="0.18130008284773458"/>
          <c:y val="0.11830414854859569"/>
          <c:w val="0.72164379651482735"/>
          <c:h val="0.72256316840991786"/>
        </c:manualLayout>
      </c:layout>
      <c:scatterChart>
        <c:scatterStyle val="smoothMarker"/>
        <c:varyColors val="0"/>
        <c:ser>
          <c:idx val="2"/>
          <c:order val="0"/>
          <c:tx>
            <c:strRef>
              <c:f>'Data Table'!$J$4</c:f>
              <c:strCache>
                <c:ptCount val="1"/>
                <c:pt idx="0">
                  <c:v>Amps</c:v>
                </c:pt>
              </c:strCache>
            </c:strRef>
          </c:tx>
          <c:spPr>
            <a:ln>
              <a:solidFill>
                <a:srgbClr val="00B050"/>
              </a:solidFill>
            </a:ln>
          </c:spPr>
          <c:marker>
            <c:symbol val="circle"/>
            <c:size val="3"/>
            <c:spPr>
              <a:solidFill>
                <a:schemeClr val="bg1"/>
              </a:solidFill>
              <a:ln>
                <a:solidFill>
                  <a:schemeClr val="tx1"/>
                </a:solidFill>
              </a:ln>
            </c:spPr>
          </c:marker>
          <c:xVal>
            <c:numRef>
              <c:f>'Data Table'!$G$5:$G$24</c:f>
              <c:numCache>
                <c:formatCode>0.00</c:formatCode>
                <c:ptCount val="20"/>
                <c:pt idx="0">
                  <c:v>0</c:v>
                </c:pt>
                <c:pt idx="1">
                  <c:v>0.19777696816024884</c:v>
                </c:pt>
                <c:pt idx="2">
                  <c:v>0.40624965893520154</c:v>
                </c:pt>
                <c:pt idx="3">
                  <c:v>0.62664138711512518</c:v>
                </c:pt>
                <c:pt idx="4">
                  <c:v>0.8603981391795098</c:v>
                </c:pt>
                <c:pt idx="5">
                  <c:v>0.9226101358573493</c:v>
                </c:pt>
                <c:pt idx="6">
                  <c:v>0.98911590971280472</c:v>
                </c:pt>
                <c:pt idx="7">
                  <c:v>1.0605523919278397</c:v>
                </c:pt>
                <c:pt idx="8">
                  <c:v>1.1377096706522267</c:v>
                </c:pt>
                <c:pt idx="9">
                  <c:v>1.2215844077983466</c:v>
                </c:pt>
                <c:pt idx="10">
                  <c:v>1.3134587873911432</c:v>
                </c:pt>
                <c:pt idx="11">
                  <c:v>1.4150212021249438</c:v>
                </c:pt>
                <c:pt idx="12">
                  <c:v>1.5285583221860206</c:v>
                </c:pt>
                <c:pt idx="13">
                  <c:v>1.6572760927193158</c:v>
                </c:pt>
                <c:pt idx="14">
                  <c:v>1.8058698536587376</c:v>
                </c:pt>
                <c:pt idx="15">
                  <c:v>1.9816189703976543</c:v>
                </c:pt>
                <c:pt idx="16">
                  <c:v>2.196718505192532</c:v>
                </c:pt>
                <c:pt idx="17">
                  <c:v>2.4740300366652486</c:v>
                </c:pt>
                <c:pt idx="18">
                  <c:v>2.8648786881990436</c:v>
                </c:pt>
                <c:pt idx="19">
                  <c:v>3.5330388712055534</c:v>
                </c:pt>
              </c:numCache>
            </c:numRef>
          </c:xVal>
          <c:yVal>
            <c:numRef>
              <c:f>'Data Table'!$J$5:$J$24</c:f>
              <c:numCache>
                <c:formatCode>0</c:formatCode>
                <c:ptCount val="20"/>
                <c:pt idx="0">
                  <c:v>76.976421636615811</c:v>
                </c:pt>
                <c:pt idx="1">
                  <c:v>73.127600554785019</c:v>
                </c:pt>
                <c:pt idx="2">
                  <c:v>69.278779472954227</c:v>
                </c:pt>
                <c:pt idx="3">
                  <c:v>65.429958391123435</c:v>
                </c:pt>
                <c:pt idx="4">
                  <c:v>246.3245492371706</c:v>
                </c:pt>
                <c:pt idx="5">
                  <c:v>230.92926490984743</c:v>
                </c:pt>
                <c:pt idx="6">
                  <c:v>215.53398058252426</c:v>
                </c:pt>
                <c:pt idx="7">
                  <c:v>200.13869625520113</c:v>
                </c:pt>
                <c:pt idx="8">
                  <c:v>184.74341192787793</c:v>
                </c:pt>
                <c:pt idx="9">
                  <c:v>169.34812760055479</c:v>
                </c:pt>
                <c:pt idx="10">
                  <c:v>153.95284327323162</c:v>
                </c:pt>
                <c:pt idx="11">
                  <c:v>138.55755894590845</c:v>
                </c:pt>
                <c:pt idx="12">
                  <c:v>123.1622746185853</c:v>
                </c:pt>
                <c:pt idx="13">
                  <c:v>107.76699029126213</c:v>
                </c:pt>
                <c:pt idx="14">
                  <c:v>92.371705963938993</c:v>
                </c:pt>
                <c:pt idx="15">
                  <c:v>76.976421636615811</c:v>
                </c:pt>
                <c:pt idx="16">
                  <c:v>61.581137309292636</c:v>
                </c:pt>
                <c:pt idx="17">
                  <c:v>46.185852981969497</c:v>
                </c:pt>
                <c:pt idx="18">
                  <c:v>30.790568654646318</c:v>
                </c:pt>
                <c:pt idx="19">
                  <c:v>15.395284327323175</c:v>
                </c:pt>
              </c:numCache>
            </c:numRef>
          </c:yVal>
          <c:smooth val="1"/>
          <c:extLst>
            <c:ext xmlns:c16="http://schemas.microsoft.com/office/drawing/2014/chart" uri="{C3380CC4-5D6E-409C-BE32-E72D297353CC}">
              <c16:uniqueId val="{00000000-3121-4928-AD8E-766C0EE7811D}"/>
            </c:ext>
          </c:extLst>
        </c:ser>
        <c:dLbls>
          <c:showLegendKey val="0"/>
          <c:showVal val="0"/>
          <c:showCatName val="0"/>
          <c:showSerName val="0"/>
          <c:showPercent val="0"/>
          <c:showBubbleSize val="0"/>
        </c:dLbls>
        <c:axId val="180354048"/>
        <c:axId val="180630272"/>
      </c:scatterChart>
      <c:valAx>
        <c:axId val="180354048"/>
        <c:scaling>
          <c:orientation val="minMax"/>
        </c:scaling>
        <c:delete val="0"/>
        <c:axPos val="b"/>
        <c:title>
          <c:tx>
            <c:rich>
              <a:bodyPr/>
              <a:lstStyle/>
              <a:p>
                <a:pPr>
                  <a:defRPr/>
                </a:pPr>
                <a:r>
                  <a:rPr lang="en-US"/>
                  <a:t>Seconds</a:t>
                </a:r>
              </a:p>
            </c:rich>
          </c:tx>
          <c:layout>
            <c:manualLayout>
              <c:xMode val="edge"/>
              <c:yMode val="edge"/>
              <c:x val="0.4536160599288489"/>
              <c:y val="0.90653034042386449"/>
            </c:manualLayout>
          </c:layout>
          <c:overlay val="0"/>
        </c:title>
        <c:numFmt formatCode="0.0" sourceLinked="0"/>
        <c:majorTickMark val="out"/>
        <c:minorTickMark val="none"/>
        <c:tickLblPos val="nextTo"/>
        <c:txPr>
          <a:bodyPr/>
          <a:lstStyle/>
          <a:p>
            <a:pPr>
              <a:defRPr sz="900"/>
            </a:pPr>
            <a:endParaRPr lang="en-US"/>
          </a:p>
        </c:txPr>
        <c:crossAx val="180630272"/>
        <c:crosses val="autoZero"/>
        <c:crossBetween val="midCat"/>
      </c:valAx>
      <c:valAx>
        <c:axId val="180630272"/>
        <c:scaling>
          <c:orientation val="minMax"/>
        </c:scaling>
        <c:delete val="0"/>
        <c:axPos val="l"/>
        <c:majorGridlines/>
        <c:title>
          <c:tx>
            <c:rich>
              <a:bodyPr rot="-5400000" vert="horz"/>
              <a:lstStyle/>
              <a:p>
                <a:pPr>
                  <a:defRPr/>
                </a:pPr>
                <a:r>
                  <a:rPr lang="en-US"/>
                  <a:t>Amperes</a:t>
                </a:r>
              </a:p>
            </c:rich>
          </c:tx>
          <c:overlay val="0"/>
        </c:title>
        <c:numFmt formatCode="0" sourceLinked="1"/>
        <c:majorTickMark val="out"/>
        <c:minorTickMark val="none"/>
        <c:tickLblPos val="nextTo"/>
        <c:txPr>
          <a:bodyPr/>
          <a:lstStyle/>
          <a:p>
            <a:pPr>
              <a:defRPr sz="900"/>
            </a:pPr>
            <a:endParaRPr lang="en-US"/>
          </a:p>
        </c:txPr>
        <c:crossAx val="180354048"/>
        <c:crosses val="autoZero"/>
        <c:crossBetween val="midCat"/>
      </c:valAx>
      <c:spPr>
        <a:ln>
          <a:solidFill>
            <a:schemeClr val="tx1">
              <a:lumMod val="50000"/>
              <a:lumOff val="50000"/>
            </a:schemeClr>
          </a:solidFill>
        </a:ln>
      </c:spPr>
    </c:plotArea>
    <c:plotVisOnly val="1"/>
    <c:dispBlanksAs val="gap"/>
    <c:showDLblsOverMax val="0"/>
  </c:chart>
  <c:spPr>
    <a:solidFill>
      <a:srgbClr val="FFFFCC"/>
    </a:solidFill>
  </c:spPr>
  <c:printSettings>
    <c:headerFooter/>
    <c:pageMargins b="0.750000000000001" l="0.70000000000000062" r="0.70000000000000062" t="0.750000000000001" header="0.30000000000000032" footer="0.30000000000000032"/>
    <c:pageSetup/>
  </c:printSettings>
</c:chartSpace>
</file>

<file path=xl/ctrlProps/ctrlProp1.xml><?xml version="1.0" encoding="utf-8"?>
<formControlPr xmlns="http://schemas.microsoft.com/office/spreadsheetml/2009/9/main" objectType="Radio" firstButton="1" fmlaLink="'Data Table'!$A$2" lockText="1" noThreeD="1"/>
</file>

<file path=xl/ctrlProps/ctrlProp2.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http://runamok.tech/robotica.html"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14</xdr:col>
      <xdr:colOff>45721</xdr:colOff>
      <xdr:row>25</xdr:row>
      <xdr:rowOff>4253</xdr:rowOff>
    </xdr:from>
    <xdr:to>
      <xdr:col>14</xdr:col>
      <xdr:colOff>906780</xdr:colOff>
      <xdr:row>30</xdr:row>
      <xdr:rowOff>0</xdr:rowOff>
    </xdr:to>
    <xdr:pic>
      <xdr:nvPicPr>
        <xdr:cNvPr id="71701" name="Picture 3">
          <a:hlinkClick xmlns:r="http://schemas.openxmlformats.org/officeDocument/2006/relationships" r:id="rId1"/>
          <a:extLst>
            <a:ext uri="{FF2B5EF4-FFF2-40B4-BE49-F238E27FC236}">
              <a16:creationId xmlns:a16="http://schemas.microsoft.com/office/drawing/2014/main" id="{00000000-0008-0000-0100-0000151801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598921" y="4033328"/>
          <a:ext cx="861059" cy="805372"/>
        </a:xfrm>
        <a:prstGeom prst="rect">
          <a:avLst/>
        </a:prstGeom>
        <a:noFill/>
        <a:ln w="6350">
          <a:solidFill>
            <a:srgbClr val="000000"/>
          </a:solidFill>
          <a:miter lim="800000"/>
          <a:headEnd/>
          <a:tailEnd/>
        </a:ln>
      </xdr:spPr>
    </xdr:pic>
    <xdr:clientData/>
  </xdr:twoCellAnchor>
  <xdr:twoCellAnchor>
    <xdr:from>
      <xdr:col>14</xdr:col>
      <xdr:colOff>35138</xdr:colOff>
      <xdr:row>2</xdr:row>
      <xdr:rowOff>113242</xdr:rowOff>
    </xdr:from>
    <xdr:to>
      <xdr:col>20</xdr:col>
      <xdr:colOff>9525</xdr:colOff>
      <xdr:row>24</xdr:row>
      <xdr:rowOff>76200</xdr:rowOff>
    </xdr:to>
    <xdr:graphicFrame macro="">
      <xdr:nvGraphicFramePr>
        <xdr:cNvPr id="71702" name="Chart 4">
          <a:extLst>
            <a:ext uri="{FF2B5EF4-FFF2-40B4-BE49-F238E27FC236}">
              <a16:creationId xmlns:a16="http://schemas.microsoft.com/office/drawing/2014/main" id="{00000000-0008-0000-0100-00001618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133350</xdr:colOff>
      <xdr:row>11</xdr:row>
      <xdr:rowOff>19050</xdr:rowOff>
    </xdr:from>
    <xdr:to>
      <xdr:col>1</xdr:col>
      <xdr:colOff>514350</xdr:colOff>
      <xdr:row>14</xdr:row>
      <xdr:rowOff>85725</xdr:rowOff>
    </xdr:to>
    <xdr:grpSp>
      <xdr:nvGrpSpPr>
        <xdr:cNvPr id="71703" name="Group 31">
          <a:extLst>
            <a:ext uri="{FF2B5EF4-FFF2-40B4-BE49-F238E27FC236}">
              <a16:creationId xmlns:a16="http://schemas.microsoft.com/office/drawing/2014/main" id="{00000000-0008-0000-0100-000017180100}"/>
            </a:ext>
          </a:extLst>
        </xdr:cNvPr>
        <xdr:cNvGrpSpPr>
          <a:grpSpLocks/>
        </xdr:cNvGrpSpPr>
      </xdr:nvGrpSpPr>
      <xdr:grpSpPr bwMode="auto">
        <a:xfrm>
          <a:off x="278130" y="1764030"/>
          <a:ext cx="381000" cy="546735"/>
          <a:chOff x="46" y="133"/>
          <a:chExt cx="40" cy="59"/>
        </a:xfrm>
      </xdr:grpSpPr>
      <xdr:sp macro="" textlink="">
        <xdr:nvSpPr>
          <xdr:cNvPr id="71711" name="AutoShape 23">
            <a:extLst>
              <a:ext uri="{FF2B5EF4-FFF2-40B4-BE49-F238E27FC236}">
                <a16:creationId xmlns:a16="http://schemas.microsoft.com/office/drawing/2014/main" id="{00000000-0008-0000-0100-00001F180100}"/>
              </a:ext>
            </a:extLst>
          </xdr:cNvPr>
          <xdr:cNvSpPr>
            <a:spLocks noChangeArrowheads="1"/>
          </xdr:cNvSpPr>
        </xdr:nvSpPr>
        <xdr:spPr bwMode="auto">
          <a:xfrm>
            <a:off x="46" y="163"/>
            <a:ext cx="28" cy="29"/>
          </a:xfrm>
          <a:prstGeom prst="curvedRightArrow">
            <a:avLst>
              <a:gd name="adj1" fmla="val 20714"/>
              <a:gd name="adj2" fmla="val 43730"/>
              <a:gd name="adj3" fmla="val 32144"/>
            </a:avLst>
          </a:prstGeom>
          <a:solidFill>
            <a:srgbClr val="FFFF99"/>
          </a:solidFill>
          <a:ln w="9525">
            <a:solidFill>
              <a:srgbClr val="000000"/>
            </a:solidFill>
            <a:miter lim="800000"/>
            <a:headEnd/>
            <a:tailEnd/>
          </a:ln>
        </xdr:spPr>
      </xdr:sp>
      <xdr:grpSp>
        <xdr:nvGrpSpPr>
          <xdr:cNvPr id="71712" name="Group 22">
            <a:extLst>
              <a:ext uri="{FF2B5EF4-FFF2-40B4-BE49-F238E27FC236}">
                <a16:creationId xmlns:a16="http://schemas.microsoft.com/office/drawing/2014/main" id="{00000000-0008-0000-0100-000020180100}"/>
              </a:ext>
            </a:extLst>
          </xdr:cNvPr>
          <xdr:cNvGrpSpPr>
            <a:grpSpLocks/>
          </xdr:cNvGrpSpPr>
        </xdr:nvGrpSpPr>
        <xdr:grpSpPr bwMode="auto">
          <a:xfrm>
            <a:off x="52" y="133"/>
            <a:ext cx="34" cy="43"/>
            <a:chOff x="58" y="140"/>
            <a:chExt cx="25" cy="43"/>
          </a:xfrm>
        </xdr:grpSpPr>
        <xdr:sp macro="" textlink="">
          <xdr:nvSpPr>
            <xdr:cNvPr id="71713" name="Oval 10">
              <a:extLst>
                <a:ext uri="{FF2B5EF4-FFF2-40B4-BE49-F238E27FC236}">
                  <a16:creationId xmlns:a16="http://schemas.microsoft.com/office/drawing/2014/main" id="{00000000-0008-0000-0100-000021180100}"/>
                </a:ext>
              </a:extLst>
            </xdr:cNvPr>
            <xdr:cNvSpPr>
              <a:spLocks noChangeArrowheads="1"/>
            </xdr:cNvSpPr>
          </xdr:nvSpPr>
          <xdr:spPr bwMode="auto">
            <a:xfrm>
              <a:off x="58" y="170"/>
              <a:ext cx="25" cy="13"/>
            </a:xfrm>
            <a:prstGeom prst="ellipse">
              <a:avLst/>
            </a:prstGeom>
            <a:solidFill>
              <a:srgbClr val="FFFFFF"/>
            </a:solidFill>
            <a:ln w="9525">
              <a:solidFill>
                <a:srgbClr val="000000"/>
              </a:solidFill>
              <a:round/>
              <a:headEnd/>
              <a:tailEnd/>
            </a:ln>
          </xdr:spPr>
        </xdr:sp>
        <xdr:sp macro="" textlink="">
          <xdr:nvSpPr>
            <xdr:cNvPr id="71714" name="Rectangle 7">
              <a:extLst>
                <a:ext uri="{FF2B5EF4-FFF2-40B4-BE49-F238E27FC236}">
                  <a16:creationId xmlns:a16="http://schemas.microsoft.com/office/drawing/2014/main" id="{00000000-0008-0000-0100-000022180100}"/>
                </a:ext>
              </a:extLst>
            </xdr:cNvPr>
            <xdr:cNvSpPr>
              <a:spLocks noChangeArrowheads="1"/>
            </xdr:cNvSpPr>
          </xdr:nvSpPr>
          <xdr:spPr bwMode="auto">
            <a:xfrm>
              <a:off x="58" y="145"/>
              <a:ext cx="25" cy="32"/>
            </a:xfrm>
            <a:prstGeom prst="rect">
              <a:avLst/>
            </a:prstGeom>
            <a:solidFill>
              <a:srgbClr val="FFFFFF"/>
            </a:solidFill>
            <a:ln w="9525">
              <a:solidFill>
                <a:srgbClr val="000000"/>
              </a:solidFill>
              <a:miter lim="800000"/>
              <a:headEnd/>
              <a:tailEnd/>
            </a:ln>
          </xdr:spPr>
        </xdr:sp>
        <xdr:sp macro="" textlink="">
          <xdr:nvSpPr>
            <xdr:cNvPr id="71715" name="Oval 9">
              <a:extLst>
                <a:ext uri="{FF2B5EF4-FFF2-40B4-BE49-F238E27FC236}">
                  <a16:creationId xmlns:a16="http://schemas.microsoft.com/office/drawing/2014/main" id="{00000000-0008-0000-0100-000023180100}"/>
                </a:ext>
              </a:extLst>
            </xdr:cNvPr>
            <xdr:cNvSpPr>
              <a:spLocks noChangeArrowheads="1"/>
            </xdr:cNvSpPr>
          </xdr:nvSpPr>
          <xdr:spPr bwMode="auto">
            <a:xfrm>
              <a:off x="58" y="140"/>
              <a:ext cx="25" cy="10"/>
            </a:xfrm>
            <a:prstGeom prst="ellipse">
              <a:avLst/>
            </a:prstGeom>
            <a:solidFill>
              <a:srgbClr val="C0C0C0"/>
            </a:solidFill>
            <a:ln w="9525">
              <a:solidFill>
                <a:srgbClr val="000000"/>
              </a:solidFill>
              <a:round/>
              <a:headEnd/>
              <a:tailEnd/>
            </a:ln>
          </xdr:spPr>
        </xdr:sp>
        <xdr:sp macro="" textlink="">
          <xdr:nvSpPr>
            <xdr:cNvPr id="71716" name="Line 11">
              <a:extLst>
                <a:ext uri="{FF2B5EF4-FFF2-40B4-BE49-F238E27FC236}">
                  <a16:creationId xmlns:a16="http://schemas.microsoft.com/office/drawing/2014/main" id="{00000000-0008-0000-0100-000024180100}"/>
                </a:ext>
              </a:extLst>
            </xdr:cNvPr>
            <xdr:cNvSpPr>
              <a:spLocks noChangeShapeType="1"/>
            </xdr:cNvSpPr>
          </xdr:nvSpPr>
          <xdr:spPr bwMode="auto">
            <a:xfrm>
              <a:off x="59" y="177"/>
              <a:ext cx="23" cy="0"/>
            </a:xfrm>
            <a:prstGeom prst="line">
              <a:avLst/>
            </a:prstGeom>
            <a:noFill/>
            <a:ln w="9525">
              <a:solidFill>
                <a:srgbClr val="FFFFFF"/>
              </a:solidFill>
              <a:round/>
              <a:headEnd/>
              <a:tailEnd/>
            </a:ln>
          </xdr:spPr>
        </xdr:sp>
      </xdr:grpSp>
    </xdr:grpSp>
    <xdr:clientData/>
  </xdr:twoCellAnchor>
  <xdr:twoCellAnchor>
    <xdr:from>
      <xdr:col>1</xdr:col>
      <xdr:colOff>123825</xdr:colOff>
      <xdr:row>4</xdr:row>
      <xdr:rowOff>38100</xdr:rowOff>
    </xdr:from>
    <xdr:to>
      <xdr:col>1</xdr:col>
      <xdr:colOff>600075</xdr:colOff>
      <xdr:row>7</xdr:row>
      <xdr:rowOff>38100</xdr:rowOff>
    </xdr:to>
    <xdr:sp macro="" textlink="">
      <xdr:nvSpPr>
        <xdr:cNvPr id="71704" name="Oval 5">
          <a:extLst>
            <a:ext uri="{FF2B5EF4-FFF2-40B4-BE49-F238E27FC236}">
              <a16:creationId xmlns:a16="http://schemas.microsoft.com/office/drawing/2014/main" id="{00000000-0008-0000-0100-000018180100}"/>
            </a:ext>
          </a:extLst>
        </xdr:cNvPr>
        <xdr:cNvSpPr>
          <a:spLocks noChangeArrowheads="1"/>
        </xdr:cNvSpPr>
      </xdr:nvSpPr>
      <xdr:spPr bwMode="auto">
        <a:xfrm>
          <a:off x="428625" y="2705100"/>
          <a:ext cx="476250" cy="495300"/>
        </a:xfrm>
        <a:prstGeom prst="ellipse">
          <a:avLst/>
        </a:prstGeom>
        <a:solidFill>
          <a:srgbClr val="FFFFFF"/>
        </a:solidFill>
        <a:ln w="9525">
          <a:solidFill>
            <a:srgbClr val="000000"/>
          </a:solidFill>
          <a:round/>
          <a:headEnd/>
          <a:tailEnd/>
        </a:ln>
      </xdr:spPr>
    </xdr:sp>
    <xdr:clientData/>
  </xdr:twoCellAnchor>
  <xdr:twoCellAnchor>
    <xdr:from>
      <xdr:col>1</xdr:col>
      <xdr:colOff>171450</xdr:colOff>
      <xdr:row>4</xdr:row>
      <xdr:rowOff>85725</xdr:rowOff>
    </xdr:from>
    <xdr:to>
      <xdr:col>1</xdr:col>
      <xdr:colOff>542925</xdr:colOff>
      <xdr:row>6</xdr:row>
      <xdr:rowOff>161925</xdr:rowOff>
    </xdr:to>
    <xdr:sp macro="" textlink="">
      <xdr:nvSpPr>
        <xdr:cNvPr id="71705" name="AutoShape 12">
          <a:extLst>
            <a:ext uri="{FF2B5EF4-FFF2-40B4-BE49-F238E27FC236}">
              <a16:creationId xmlns:a16="http://schemas.microsoft.com/office/drawing/2014/main" id="{00000000-0008-0000-0100-000019180100}"/>
            </a:ext>
          </a:extLst>
        </xdr:cNvPr>
        <xdr:cNvSpPr>
          <a:spLocks noChangeArrowheads="1"/>
        </xdr:cNvSpPr>
      </xdr:nvSpPr>
      <xdr:spPr bwMode="auto">
        <a:xfrm>
          <a:off x="476250" y="2752725"/>
          <a:ext cx="371475" cy="400050"/>
        </a:xfrm>
        <a:custGeom>
          <a:avLst/>
          <a:gdLst>
            <a:gd name="T0" fmla="*/ 2147483647 w 21600"/>
            <a:gd name="T1" fmla="*/ 2147483647 h 21600"/>
            <a:gd name="T2" fmla="*/ 2147483647 w 21600"/>
            <a:gd name="T3" fmla="*/ 2147483647 h 21600"/>
            <a:gd name="T4" fmla="*/ 2147483647 w 21600"/>
            <a:gd name="T5" fmla="*/ 2147483647 h 21600"/>
            <a:gd name="T6" fmla="*/ 2147483647 w 21600"/>
            <a:gd name="T7" fmla="*/ 2147483647 h 21600"/>
            <a:gd name="T8" fmla="*/ 2147483647 w 21600"/>
            <a:gd name="T9" fmla="*/ 2147483647 h 21600"/>
            <a:gd name="T10" fmla="*/ 2147483647 w 21600"/>
            <a:gd name="T11" fmla="*/ 2147483647 h 21600"/>
            <a:gd name="T12" fmla="*/ 0 60000 65536"/>
            <a:gd name="T13" fmla="*/ 0 60000 65536"/>
            <a:gd name="T14" fmla="*/ 0 60000 65536"/>
            <a:gd name="T15" fmla="*/ 0 60000 65536"/>
            <a:gd name="T16" fmla="*/ 0 60000 65536"/>
            <a:gd name="T17" fmla="*/ 0 60000 65536"/>
            <a:gd name="T18" fmla="*/ 3163 w 21600"/>
            <a:gd name="T19" fmla="*/ 3163 h 21600"/>
            <a:gd name="T20" fmla="*/ 18437 w 21600"/>
            <a:gd name="T21" fmla="*/ 18437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8900" y="10800"/>
              </a:moveTo>
              <a:cubicBezTo>
                <a:pt x="18900" y="6326"/>
                <a:pt x="15273" y="2700"/>
                <a:pt x="10800" y="2700"/>
              </a:cubicBezTo>
              <a:cubicBezTo>
                <a:pt x="6326" y="2700"/>
                <a:pt x="2700" y="6326"/>
                <a:pt x="2700" y="10800"/>
              </a:cubicBezTo>
              <a:cubicBezTo>
                <a:pt x="2700" y="15273"/>
                <a:pt x="6326" y="18900"/>
                <a:pt x="10800" y="18900"/>
              </a:cubicBezTo>
              <a:cubicBezTo>
                <a:pt x="12211" y="18900"/>
                <a:pt x="13597" y="18531"/>
                <a:pt x="14822" y="17830"/>
              </a:cubicBezTo>
              <a:lnTo>
                <a:pt x="16163" y="20174"/>
              </a:lnTo>
              <a:cubicBezTo>
                <a:pt x="14530" y="21108"/>
                <a:pt x="12681" y="21599"/>
                <a:pt x="10800" y="21600"/>
              </a:cubicBezTo>
              <a:cubicBezTo>
                <a:pt x="4835" y="21600"/>
                <a:pt x="0" y="16764"/>
                <a:pt x="0" y="10800"/>
              </a:cubicBezTo>
              <a:cubicBezTo>
                <a:pt x="0" y="4835"/>
                <a:pt x="4835" y="0"/>
                <a:pt x="10800" y="0"/>
              </a:cubicBezTo>
              <a:cubicBezTo>
                <a:pt x="16764" y="-1"/>
                <a:pt x="21599" y="4835"/>
                <a:pt x="21600" y="10799"/>
              </a:cubicBezTo>
              <a:lnTo>
                <a:pt x="21600" y="10800"/>
              </a:lnTo>
              <a:lnTo>
                <a:pt x="24300" y="10800"/>
              </a:lnTo>
              <a:lnTo>
                <a:pt x="20250" y="14850"/>
              </a:lnTo>
              <a:lnTo>
                <a:pt x="16200" y="10800"/>
              </a:lnTo>
              <a:lnTo>
                <a:pt x="18900" y="10800"/>
              </a:lnTo>
              <a:close/>
            </a:path>
          </a:pathLst>
        </a:custGeom>
        <a:solidFill>
          <a:srgbClr val="FFFF99"/>
        </a:solidFill>
        <a:ln w="9525">
          <a:solidFill>
            <a:srgbClr val="000000"/>
          </a:solidFill>
          <a:miter lim="800000"/>
          <a:headEnd/>
          <a:tailEnd/>
        </a:ln>
      </xdr:spPr>
    </xdr:sp>
    <xdr:clientData/>
  </xdr:twoCellAnchor>
  <xdr:twoCellAnchor>
    <xdr:from>
      <xdr:col>1</xdr:col>
      <xdr:colOff>352425</xdr:colOff>
      <xdr:row>5</xdr:row>
      <xdr:rowOff>114300</xdr:rowOff>
    </xdr:from>
    <xdr:to>
      <xdr:col>1</xdr:col>
      <xdr:colOff>381000</xdr:colOff>
      <xdr:row>5</xdr:row>
      <xdr:rowOff>142875</xdr:rowOff>
    </xdr:to>
    <xdr:sp macro="" textlink="">
      <xdr:nvSpPr>
        <xdr:cNvPr id="71706" name="AutoShape 28">
          <a:extLst>
            <a:ext uri="{FF2B5EF4-FFF2-40B4-BE49-F238E27FC236}">
              <a16:creationId xmlns:a16="http://schemas.microsoft.com/office/drawing/2014/main" id="{00000000-0008-0000-0100-00001A180100}"/>
            </a:ext>
          </a:extLst>
        </xdr:cNvPr>
        <xdr:cNvSpPr>
          <a:spLocks noChangeArrowheads="1"/>
        </xdr:cNvSpPr>
      </xdr:nvSpPr>
      <xdr:spPr bwMode="auto">
        <a:xfrm>
          <a:off x="657225" y="2952750"/>
          <a:ext cx="28575" cy="28575"/>
        </a:xfrm>
        <a:prstGeom prst="flowChartOr">
          <a:avLst/>
        </a:prstGeom>
        <a:solidFill>
          <a:srgbClr val="FFFFFF"/>
        </a:solidFill>
        <a:ln w="9525">
          <a:solidFill>
            <a:srgbClr val="000000"/>
          </a:solidFill>
          <a:round/>
          <a:headEnd/>
          <a:tailEnd/>
        </a:ln>
      </xdr:spPr>
    </xdr:sp>
    <xdr:clientData/>
  </xdr:twoCellAnchor>
  <xdr:twoCellAnchor>
    <xdr:from>
      <xdr:col>1</xdr:col>
      <xdr:colOff>180975</xdr:colOff>
      <xdr:row>17</xdr:row>
      <xdr:rowOff>76200</xdr:rowOff>
    </xdr:from>
    <xdr:to>
      <xdr:col>1</xdr:col>
      <xdr:colOff>552450</xdr:colOff>
      <xdr:row>21</xdr:row>
      <xdr:rowOff>85725</xdr:rowOff>
    </xdr:to>
    <xdr:grpSp>
      <xdr:nvGrpSpPr>
        <xdr:cNvPr id="71707" name="Group 34">
          <a:extLst>
            <a:ext uri="{FF2B5EF4-FFF2-40B4-BE49-F238E27FC236}">
              <a16:creationId xmlns:a16="http://schemas.microsoft.com/office/drawing/2014/main" id="{00000000-0008-0000-0100-00001B180100}"/>
            </a:ext>
          </a:extLst>
        </xdr:cNvPr>
        <xdr:cNvGrpSpPr>
          <a:grpSpLocks/>
        </xdr:cNvGrpSpPr>
      </xdr:nvGrpSpPr>
      <xdr:grpSpPr bwMode="auto">
        <a:xfrm>
          <a:off x="325755" y="2781300"/>
          <a:ext cx="371475" cy="649605"/>
          <a:chOff x="51" y="339"/>
          <a:chExt cx="39" cy="70"/>
        </a:xfrm>
      </xdr:grpSpPr>
      <xdr:sp macro="" textlink="">
        <xdr:nvSpPr>
          <xdr:cNvPr id="71708" name="Rectangle 6">
            <a:extLst>
              <a:ext uri="{FF2B5EF4-FFF2-40B4-BE49-F238E27FC236}">
                <a16:creationId xmlns:a16="http://schemas.microsoft.com/office/drawing/2014/main" id="{00000000-0008-0000-0100-00001C180100}"/>
              </a:ext>
            </a:extLst>
          </xdr:cNvPr>
          <xdr:cNvSpPr>
            <a:spLocks noChangeArrowheads="1"/>
          </xdr:cNvSpPr>
        </xdr:nvSpPr>
        <xdr:spPr bwMode="auto">
          <a:xfrm>
            <a:off x="61" y="339"/>
            <a:ext cx="17" cy="70"/>
          </a:xfrm>
          <a:prstGeom prst="rect">
            <a:avLst/>
          </a:prstGeom>
          <a:solidFill>
            <a:srgbClr val="FFFFFF"/>
          </a:solidFill>
          <a:ln w="9525">
            <a:solidFill>
              <a:srgbClr val="000000"/>
            </a:solidFill>
            <a:miter lim="800000"/>
            <a:headEnd/>
            <a:tailEnd/>
          </a:ln>
        </xdr:spPr>
      </xdr:sp>
      <xdr:sp macro="" textlink="">
        <xdr:nvSpPr>
          <xdr:cNvPr id="71709" name="AutoShape 26">
            <a:extLst>
              <a:ext uri="{FF2B5EF4-FFF2-40B4-BE49-F238E27FC236}">
                <a16:creationId xmlns:a16="http://schemas.microsoft.com/office/drawing/2014/main" id="{00000000-0008-0000-0100-00001D180100}"/>
              </a:ext>
            </a:extLst>
          </xdr:cNvPr>
          <xdr:cNvSpPr>
            <a:spLocks noChangeArrowheads="1"/>
          </xdr:cNvSpPr>
        </xdr:nvSpPr>
        <xdr:spPr bwMode="auto">
          <a:xfrm>
            <a:off x="68" y="372"/>
            <a:ext cx="3" cy="3"/>
          </a:xfrm>
          <a:prstGeom prst="flowChartOr">
            <a:avLst/>
          </a:prstGeom>
          <a:solidFill>
            <a:srgbClr val="FFFFFF"/>
          </a:solidFill>
          <a:ln w="9525">
            <a:solidFill>
              <a:srgbClr val="000000"/>
            </a:solidFill>
            <a:round/>
            <a:headEnd/>
            <a:tailEnd/>
          </a:ln>
        </xdr:spPr>
      </xdr:sp>
      <xdr:sp macro="" textlink="">
        <xdr:nvSpPr>
          <xdr:cNvPr id="71710" name="AutoShape 33">
            <a:extLst>
              <a:ext uri="{FF2B5EF4-FFF2-40B4-BE49-F238E27FC236}">
                <a16:creationId xmlns:a16="http://schemas.microsoft.com/office/drawing/2014/main" id="{00000000-0008-0000-0100-00001E180100}"/>
              </a:ext>
            </a:extLst>
          </xdr:cNvPr>
          <xdr:cNvSpPr>
            <a:spLocks noChangeArrowheads="1"/>
          </xdr:cNvSpPr>
        </xdr:nvSpPr>
        <xdr:spPr bwMode="auto">
          <a:xfrm>
            <a:off x="51" y="352"/>
            <a:ext cx="39" cy="42"/>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60000 65536"/>
              <a:gd name="T13" fmla="*/ 0 60000 65536"/>
              <a:gd name="T14" fmla="*/ 0 60000 65536"/>
              <a:gd name="T15" fmla="*/ 0 60000 65536"/>
              <a:gd name="T16" fmla="*/ 0 60000 65536"/>
              <a:gd name="T17" fmla="*/ 0 60000 65536"/>
              <a:gd name="T18" fmla="*/ 3323 w 21600"/>
              <a:gd name="T19" fmla="*/ 3086 h 21600"/>
              <a:gd name="T20" fmla="*/ 18277 w 21600"/>
              <a:gd name="T21" fmla="*/ 18514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8900" y="10800"/>
                </a:moveTo>
                <a:cubicBezTo>
                  <a:pt x="18900" y="6326"/>
                  <a:pt x="15273" y="2700"/>
                  <a:pt x="10800" y="2700"/>
                </a:cubicBezTo>
                <a:cubicBezTo>
                  <a:pt x="6326" y="2700"/>
                  <a:pt x="2700" y="6326"/>
                  <a:pt x="2700" y="10800"/>
                </a:cubicBezTo>
                <a:cubicBezTo>
                  <a:pt x="2699" y="15192"/>
                  <a:pt x="6201" y="18784"/>
                  <a:pt x="10592" y="18897"/>
                </a:cubicBezTo>
                <a:lnTo>
                  <a:pt x="10523" y="21596"/>
                </a:lnTo>
                <a:cubicBezTo>
                  <a:pt x="4668" y="21446"/>
                  <a:pt x="0" y="16656"/>
                  <a:pt x="0" y="10800"/>
                </a:cubicBezTo>
                <a:cubicBezTo>
                  <a:pt x="0" y="4835"/>
                  <a:pt x="4835" y="0"/>
                  <a:pt x="10800" y="0"/>
                </a:cubicBezTo>
                <a:cubicBezTo>
                  <a:pt x="16764" y="-1"/>
                  <a:pt x="21599" y="4835"/>
                  <a:pt x="21600" y="10799"/>
                </a:cubicBezTo>
                <a:lnTo>
                  <a:pt x="21600" y="10800"/>
                </a:lnTo>
                <a:lnTo>
                  <a:pt x="24300" y="10800"/>
                </a:lnTo>
                <a:lnTo>
                  <a:pt x="20250" y="14850"/>
                </a:lnTo>
                <a:lnTo>
                  <a:pt x="16200" y="10800"/>
                </a:lnTo>
                <a:lnTo>
                  <a:pt x="18900" y="10800"/>
                </a:lnTo>
                <a:close/>
              </a:path>
            </a:pathLst>
          </a:custGeom>
          <a:solidFill>
            <a:srgbClr val="FFFF99"/>
          </a:solidFill>
          <a:ln w="9525">
            <a:solidFill>
              <a:srgbClr val="000000"/>
            </a:solidFill>
            <a:miter lim="800000"/>
            <a:headEnd/>
            <a:tailEnd/>
          </a:ln>
        </xdr:spPr>
      </xdr:sp>
    </xdr:grpSp>
    <xdr:clientData/>
  </xdr:twoCellAnchor>
  <mc:AlternateContent xmlns:mc="http://schemas.openxmlformats.org/markup-compatibility/2006">
    <mc:Choice xmlns:a14="http://schemas.microsoft.com/office/drawing/2010/main" Requires="a14">
      <xdr:twoCellAnchor editAs="oneCell">
        <xdr:from>
          <xdr:col>7</xdr:col>
          <xdr:colOff>30480</xdr:colOff>
          <xdr:row>5</xdr:row>
          <xdr:rowOff>121920</xdr:rowOff>
        </xdr:from>
        <xdr:to>
          <xdr:col>8</xdr:col>
          <xdr:colOff>0</xdr:colOff>
          <xdr:row>6</xdr:row>
          <xdr:rowOff>114300</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380DA51B-A43D-1C97-F027-753909DFC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Brushed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6</xdr:row>
          <xdr:rowOff>121920</xdr:rowOff>
        </xdr:from>
        <xdr:to>
          <xdr:col>8</xdr:col>
          <xdr:colOff>0</xdr:colOff>
          <xdr:row>7</xdr:row>
          <xdr:rowOff>114300</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3818E0E9-87D6-1504-3801-043E2EA4BF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Brushless</a:t>
              </a:r>
            </a:p>
          </xdr:txBody>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129540</xdr:colOff>
      <xdr:row>0</xdr:row>
      <xdr:rowOff>160020</xdr:rowOff>
    </xdr:from>
    <xdr:to>
      <xdr:col>15</xdr:col>
      <xdr:colOff>502920</xdr:colOff>
      <xdr:row>16</xdr:row>
      <xdr:rowOff>30480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hyperlink" Target="http://runamok.tech/robotica.html"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
  <sheetViews>
    <sheetView showRowColHeaders="0" zoomScaleNormal="100" workbookViewId="0">
      <selection activeCell="D17" sqref="D17"/>
    </sheetView>
  </sheetViews>
  <sheetFormatPr defaultRowHeight="13.2" x14ac:dyDescent="0.25"/>
  <cols>
    <col min="1" max="1" width="3.5546875" customWidth="1"/>
    <col min="2" max="2" width="58.109375" customWidth="1"/>
    <col min="3" max="3" width="13" customWidth="1"/>
    <col min="4" max="4" width="6.6640625" customWidth="1"/>
    <col min="6" max="6" width="59.5546875" customWidth="1"/>
    <col min="7" max="7" width="9.109375" customWidth="1"/>
  </cols>
  <sheetData>
    <row r="1" spans="1:21" ht="7.5" customHeight="1" x14ac:dyDescent="0.25">
      <c r="A1" s="18"/>
      <c r="B1" s="18"/>
      <c r="C1" s="18"/>
      <c r="D1" s="18"/>
      <c r="E1" s="18"/>
      <c r="F1" s="18"/>
      <c r="G1" s="18"/>
      <c r="H1" s="18"/>
      <c r="I1" s="18"/>
      <c r="J1" s="18"/>
      <c r="K1" s="18"/>
      <c r="L1" s="18"/>
      <c r="M1" s="18"/>
      <c r="N1" s="18"/>
      <c r="O1" s="18"/>
      <c r="P1" s="18"/>
      <c r="Q1" s="18"/>
      <c r="R1" s="18"/>
      <c r="S1" s="18"/>
      <c r="T1" s="18"/>
      <c r="U1" s="18"/>
    </row>
    <row r="2" spans="1:21" x14ac:dyDescent="0.25">
      <c r="A2" s="18"/>
      <c r="B2" s="83" t="s">
        <v>109</v>
      </c>
      <c r="C2" s="18"/>
      <c r="D2" s="18"/>
      <c r="E2" s="18"/>
      <c r="F2" s="18"/>
      <c r="G2" s="18"/>
      <c r="H2" s="18"/>
      <c r="I2" s="18"/>
      <c r="J2" s="18"/>
      <c r="K2" s="18"/>
      <c r="L2" s="18"/>
      <c r="M2" s="18"/>
      <c r="N2" s="18"/>
      <c r="O2" s="18"/>
      <c r="P2" s="18"/>
      <c r="Q2" s="18"/>
      <c r="R2" s="18"/>
      <c r="S2" s="18"/>
      <c r="T2" s="18"/>
      <c r="U2" s="18"/>
    </row>
    <row r="3" spans="1:21" ht="44.25" customHeight="1" x14ac:dyDescent="0.25">
      <c r="A3" s="18"/>
      <c r="B3" s="91" t="s">
        <v>107</v>
      </c>
      <c r="C3" s="92"/>
      <c r="D3" s="92"/>
      <c r="E3" s="92"/>
      <c r="F3" s="93"/>
      <c r="G3" s="18"/>
      <c r="H3" s="18"/>
      <c r="I3" s="18"/>
      <c r="J3" s="18"/>
      <c r="K3" s="18"/>
      <c r="L3" s="18"/>
      <c r="M3" s="18"/>
      <c r="N3" s="18"/>
      <c r="O3" s="18"/>
      <c r="P3" s="18"/>
      <c r="Q3" s="18"/>
      <c r="R3" s="18"/>
      <c r="S3" s="18"/>
      <c r="T3" s="18"/>
      <c r="U3" s="18"/>
    </row>
    <row r="4" spans="1:21" ht="30" customHeight="1" x14ac:dyDescent="0.25">
      <c r="A4" s="18"/>
      <c r="B4" s="94" t="s">
        <v>108</v>
      </c>
      <c r="C4" s="95"/>
      <c r="D4" s="95"/>
      <c r="E4" s="95"/>
      <c r="F4" s="96"/>
      <c r="G4" s="18"/>
      <c r="H4" s="18"/>
      <c r="I4" s="18"/>
      <c r="J4" s="18"/>
      <c r="K4" s="18"/>
      <c r="L4" s="18"/>
      <c r="M4" s="18"/>
      <c r="N4" s="18"/>
      <c r="O4" s="18"/>
      <c r="P4" s="18"/>
      <c r="Q4" s="18"/>
      <c r="R4" s="18"/>
      <c r="S4" s="18"/>
      <c r="T4" s="18"/>
      <c r="U4" s="18"/>
    </row>
    <row r="5" spans="1:21" ht="31.5" customHeight="1" x14ac:dyDescent="0.25">
      <c r="A5" s="18"/>
      <c r="B5" s="97" t="s">
        <v>106</v>
      </c>
      <c r="C5" s="98"/>
      <c r="D5" s="98"/>
      <c r="E5" s="98"/>
      <c r="F5" s="99"/>
      <c r="G5" s="18"/>
      <c r="H5" s="18"/>
      <c r="I5" s="18"/>
      <c r="J5" s="18"/>
      <c r="K5" s="18"/>
      <c r="L5" s="18"/>
      <c r="M5" s="18"/>
      <c r="N5" s="18"/>
      <c r="O5" s="18"/>
      <c r="P5" s="18"/>
      <c r="Q5" s="18"/>
      <c r="R5" s="18"/>
      <c r="S5" s="18"/>
      <c r="T5" s="18"/>
      <c r="U5" s="18"/>
    </row>
    <row r="6" spans="1:21" ht="30" customHeight="1" x14ac:dyDescent="0.25">
      <c r="A6" s="18"/>
      <c r="B6" s="100" t="s">
        <v>104</v>
      </c>
      <c r="C6" s="101"/>
      <c r="D6" s="101"/>
      <c r="E6" s="101"/>
      <c r="F6" s="102"/>
      <c r="G6" s="18"/>
      <c r="H6" s="18"/>
      <c r="I6" s="18"/>
      <c r="J6" s="18"/>
      <c r="K6" s="18"/>
      <c r="L6" s="18"/>
      <c r="M6" s="18"/>
      <c r="N6" s="18"/>
      <c r="O6" s="18"/>
      <c r="P6" s="18"/>
      <c r="Q6" s="18"/>
      <c r="R6" s="18"/>
      <c r="S6" s="18"/>
      <c r="T6" s="18"/>
      <c r="U6" s="18"/>
    </row>
    <row r="7" spans="1:21" ht="30.6" customHeight="1" x14ac:dyDescent="0.25">
      <c r="A7" s="18"/>
      <c r="B7" s="100" t="s">
        <v>105</v>
      </c>
      <c r="C7" s="101"/>
      <c r="D7" s="101"/>
      <c r="E7" s="101"/>
      <c r="F7" s="102"/>
      <c r="G7" s="18"/>
      <c r="H7" s="18"/>
      <c r="I7" s="18"/>
      <c r="J7" s="18"/>
      <c r="K7" s="18"/>
      <c r="L7" s="18"/>
      <c r="M7" s="18"/>
      <c r="N7" s="18"/>
      <c r="O7" s="18"/>
      <c r="P7" s="18"/>
      <c r="Q7" s="18"/>
      <c r="R7" s="18"/>
      <c r="S7" s="18"/>
      <c r="T7" s="18"/>
      <c r="U7" s="18"/>
    </row>
    <row r="8" spans="1:21" ht="34.5" customHeight="1" x14ac:dyDescent="0.25">
      <c r="A8" s="18"/>
      <c r="B8" s="103" t="s">
        <v>97</v>
      </c>
      <c r="C8" s="104"/>
      <c r="D8" s="104"/>
      <c r="E8" s="104"/>
      <c r="F8" s="105"/>
      <c r="G8" s="18"/>
      <c r="H8" s="18"/>
      <c r="I8" s="18"/>
      <c r="J8" s="18"/>
      <c r="K8" s="18"/>
      <c r="L8" s="18"/>
      <c r="M8" s="18"/>
      <c r="N8" s="18"/>
      <c r="O8" s="18"/>
      <c r="P8" s="18"/>
      <c r="Q8" s="18"/>
      <c r="R8" s="18"/>
      <c r="S8" s="18"/>
      <c r="T8" s="18"/>
      <c r="U8" s="18"/>
    </row>
    <row r="9" spans="1:21" ht="15" customHeight="1" x14ac:dyDescent="0.25">
      <c r="A9" s="18"/>
      <c r="B9" s="106" t="s">
        <v>95</v>
      </c>
      <c r="C9" s="107"/>
      <c r="D9" s="107"/>
      <c r="E9" s="107"/>
      <c r="F9" s="108"/>
      <c r="G9" s="18"/>
      <c r="H9" s="18"/>
      <c r="I9" s="18"/>
      <c r="J9" s="18"/>
      <c r="K9" s="18"/>
      <c r="L9" s="18"/>
      <c r="M9" s="18"/>
      <c r="N9" s="18"/>
      <c r="O9" s="18"/>
      <c r="P9" s="18"/>
      <c r="Q9" s="18"/>
      <c r="R9" s="18"/>
      <c r="S9" s="18"/>
      <c r="T9" s="18"/>
      <c r="U9" s="18"/>
    </row>
    <row r="10" spans="1:21" ht="15" customHeight="1" x14ac:dyDescent="0.25">
      <c r="A10" s="18"/>
      <c r="B10" s="109" t="s">
        <v>34</v>
      </c>
      <c r="C10" s="110"/>
      <c r="D10" s="110"/>
      <c r="E10" s="110"/>
      <c r="F10" s="111"/>
      <c r="G10" s="18"/>
      <c r="H10" s="18"/>
      <c r="I10" s="18"/>
      <c r="J10" s="18"/>
      <c r="K10" s="18"/>
      <c r="L10" s="18"/>
      <c r="M10" s="18"/>
      <c r="N10" s="18"/>
      <c r="O10" s="18"/>
      <c r="P10" s="18"/>
      <c r="Q10" s="18"/>
      <c r="R10" s="18"/>
      <c r="S10" s="18"/>
      <c r="T10" s="18"/>
      <c r="U10" s="18"/>
    </row>
    <row r="11" spans="1:21" ht="31.2" customHeight="1" x14ac:dyDescent="0.25">
      <c r="A11" s="18"/>
      <c r="B11" s="100" t="s">
        <v>98</v>
      </c>
      <c r="C11" s="101"/>
      <c r="D11" s="101"/>
      <c r="E11" s="101"/>
      <c r="F11" s="102"/>
      <c r="G11" s="18"/>
      <c r="H11" s="18"/>
      <c r="I11" s="18"/>
      <c r="J11" s="18"/>
      <c r="K11" s="18"/>
      <c r="L11" s="18"/>
      <c r="M11" s="18"/>
      <c r="N11" s="18"/>
      <c r="O11" s="18"/>
      <c r="P11" s="18"/>
      <c r="Q11" s="18"/>
      <c r="R11" s="18"/>
      <c r="S11" s="18"/>
      <c r="T11" s="18"/>
      <c r="U11" s="18"/>
    </row>
    <row r="12" spans="1:21" ht="29.25" customHeight="1" x14ac:dyDescent="0.25">
      <c r="A12" s="18"/>
      <c r="B12" s="103" t="s">
        <v>101</v>
      </c>
      <c r="C12" s="104"/>
      <c r="D12" s="104"/>
      <c r="E12" s="104"/>
      <c r="F12" s="105"/>
      <c r="G12" s="18"/>
      <c r="H12" s="18"/>
      <c r="I12" s="18"/>
      <c r="J12" s="18"/>
      <c r="K12" s="18"/>
      <c r="L12" s="18"/>
      <c r="M12" s="18"/>
      <c r="N12" s="18"/>
      <c r="O12" s="18"/>
      <c r="P12" s="18"/>
      <c r="Q12" s="18"/>
      <c r="R12" s="18"/>
      <c r="S12" s="18"/>
      <c r="T12" s="18"/>
      <c r="U12" s="18"/>
    </row>
    <row r="13" spans="1:21" ht="27.75" customHeight="1" x14ac:dyDescent="0.25">
      <c r="A13" s="18"/>
      <c r="B13" s="97" t="s">
        <v>103</v>
      </c>
      <c r="C13" s="98"/>
      <c r="D13" s="98"/>
      <c r="E13" s="98"/>
      <c r="F13" s="99"/>
      <c r="G13" s="18"/>
      <c r="H13" s="18"/>
      <c r="I13" s="18"/>
      <c r="J13" s="18"/>
      <c r="K13" s="18"/>
      <c r="L13" s="18"/>
      <c r="M13" s="18"/>
      <c r="N13" s="18"/>
      <c r="O13" s="18"/>
      <c r="P13" s="18"/>
      <c r="Q13" s="18"/>
      <c r="R13" s="18"/>
      <c r="S13" s="18"/>
      <c r="T13" s="18"/>
      <c r="U13" s="18"/>
    </row>
    <row r="14" spans="1:21" ht="17.399999999999999" customHeight="1" x14ac:dyDescent="0.25">
      <c r="A14" s="18"/>
      <c r="B14" s="112" t="s">
        <v>24</v>
      </c>
      <c r="C14" s="113"/>
      <c r="D14" s="113"/>
      <c r="E14" s="113"/>
      <c r="F14" s="114"/>
      <c r="G14" s="18"/>
      <c r="H14" s="18"/>
      <c r="I14" s="18"/>
      <c r="J14" s="18"/>
      <c r="K14" s="18"/>
      <c r="L14" s="18"/>
      <c r="M14" s="18"/>
      <c r="N14" s="18"/>
      <c r="O14" s="18"/>
      <c r="P14" s="18"/>
      <c r="Q14" s="18"/>
      <c r="R14" s="18"/>
      <c r="S14" s="18"/>
      <c r="T14" s="18"/>
      <c r="U14" s="18"/>
    </row>
    <row r="15" spans="1:21" ht="7.95" customHeight="1" x14ac:dyDescent="0.25">
      <c r="A15" s="18"/>
      <c r="B15" s="18"/>
      <c r="C15" s="18"/>
      <c r="D15" s="18"/>
      <c r="E15" s="18"/>
      <c r="F15" s="18"/>
      <c r="G15" s="18"/>
      <c r="H15" s="18"/>
      <c r="I15" s="18"/>
      <c r="J15" s="18"/>
      <c r="K15" s="18"/>
      <c r="L15" s="18"/>
      <c r="M15" s="18"/>
      <c r="N15" s="18"/>
      <c r="O15" s="18"/>
      <c r="P15" s="18"/>
      <c r="Q15" s="18"/>
      <c r="R15" s="18"/>
      <c r="S15" s="18"/>
      <c r="T15" s="18"/>
      <c r="U15" s="18"/>
    </row>
    <row r="16" spans="1:21" x14ac:dyDescent="0.25">
      <c r="A16" s="18"/>
      <c r="B16" s="18"/>
      <c r="C16" s="88" t="s">
        <v>94</v>
      </c>
      <c r="D16" s="89"/>
      <c r="E16" s="90"/>
      <c r="F16" s="18"/>
      <c r="G16" s="18"/>
      <c r="H16" s="18"/>
      <c r="I16" s="18"/>
      <c r="J16" s="18"/>
      <c r="K16" s="18"/>
      <c r="L16" s="18"/>
      <c r="M16" s="18"/>
      <c r="N16" s="18"/>
      <c r="O16" s="18"/>
      <c r="P16" s="18"/>
      <c r="Q16" s="18"/>
      <c r="R16" s="18"/>
      <c r="S16" s="18"/>
      <c r="T16" s="18"/>
      <c r="U16" s="18"/>
    </row>
    <row r="17" spans="1:21" x14ac:dyDescent="0.25">
      <c r="A17" s="18"/>
      <c r="B17" s="18"/>
      <c r="C17" s="24" t="s">
        <v>58</v>
      </c>
      <c r="D17" s="19">
        <v>192</v>
      </c>
      <c r="E17" s="21" t="s">
        <v>60</v>
      </c>
      <c r="F17" s="18"/>
      <c r="G17" s="18"/>
      <c r="H17" s="18"/>
      <c r="I17" s="18"/>
      <c r="J17" s="18"/>
      <c r="K17" s="18"/>
      <c r="L17" s="18"/>
      <c r="M17" s="18"/>
      <c r="N17" s="18"/>
      <c r="O17" s="18"/>
      <c r="P17" s="18"/>
      <c r="Q17" s="18"/>
      <c r="R17" s="18"/>
      <c r="S17" s="18"/>
      <c r="T17" s="18"/>
      <c r="U17" s="18"/>
    </row>
    <row r="18" spans="1:21" x14ac:dyDescent="0.25">
      <c r="A18" s="18"/>
      <c r="B18" s="18"/>
      <c r="C18" s="25" t="s">
        <v>61</v>
      </c>
      <c r="D18" s="4">
        <v>14.8</v>
      </c>
      <c r="E18" s="22" t="s">
        <v>59</v>
      </c>
      <c r="F18" s="18"/>
      <c r="G18" s="18"/>
      <c r="H18" s="18"/>
      <c r="I18" s="18"/>
      <c r="J18" s="18"/>
      <c r="K18" s="18"/>
      <c r="L18" s="18"/>
      <c r="M18" s="18"/>
      <c r="N18" s="18"/>
      <c r="O18" s="18"/>
      <c r="P18" s="18"/>
      <c r="Q18" s="18"/>
      <c r="R18" s="18"/>
      <c r="S18" s="18"/>
      <c r="T18" s="18"/>
      <c r="U18" s="18"/>
    </row>
    <row r="19" spans="1:21" x14ac:dyDescent="0.25">
      <c r="A19" s="18"/>
      <c r="B19" s="18"/>
      <c r="C19" s="26" t="s">
        <v>47</v>
      </c>
      <c r="D19" s="33">
        <f>1000*D18/D17</f>
        <v>77.083333333333329</v>
      </c>
      <c r="E19" s="23" t="s">
        <v>62</v>
      </c>
      <c r="F19" s="18"/>
      <c r="G19" s="18"/>
      <c r="H19" s="18"/>
      <c r="I19" s="18"/>
      <c r="J19" s="18"/>
      <c r="K19" s="18"/>
      <c r="L19" s="18"/>
      <c r="M19" s="18"/>
      <c r="N19" s="18"/>
      <c r="O19" s="18"/>
      <c r="P19" s="18"/>
      <c r="Q19" s="18"/>
      <c r="R19" s="18"/>
      <c r="S19" s="18"/>
      <c r="T19" s="18"/>
      <c r="U19" s="18"/>
    </row>
    <row r="20" spans="1:21" x14ac:dyDescent="0.25">
      <c r="A20" s="18"/>
      <c r="B20" s="18"/>
      <c r="C20" s="18"/>
      <c r="D20" s="18"/>
      <c r="E20" s="18"/>
      <c r="F20" s="18"/>
      <c r="G20" s="18"/>
      <c r="H20" s="18"/>
      <c r="I20" s="18"/>
      <c r="J20" s="18"/>
      <c r="K20" s="18"/>
      <c r="L20" s="18"/>
      <c r="M20" s="18"/>
      <c r="N20" s="18"/>
      <c r="O20" s="18"/>
      <c r="P20" s="18"/>
      <c r="Q20" s="18"/>
      <c r="R20" s="18"/>
      <c r="S20" s="18"/>
      <c r="T20" s="18"/>
      <c r="U20" s="18"/>
    </row>
    <row r="21" spans="1:21" x14ac:dyDescent="0.25">
      <c r="A21" s="18"/>
      <c r="B21" s="18"/>
      <c r="C21" s="18"/>
      <c r="D21" s="18"/>
      <c r="E21" s="18"/>
      <c r="F21" s="18"/>
      <c r="G21" s="18"/>
      <c r="H21" s="18"/>
      <c r="I21" s="18"/>
      <c r="J21" s="18"/>
      <c r="K21" s="18"/>
      <c r="L21" s="18"/>
      <c r="M21" s="18"/>
      <c r="N21" s="18"/>
      <c r="O21" s="18"/>
      <c r="P21" s="18"/>
      <c r="Q21" s="18"/>
      <c r="R21" s="18"/>
      <c r="S21" s="18"/>
      <c r="T21" s="18"/>
      <c r="U21" s="18"/>
    </row>
    <row r="22" spans="1:21" x14ac:dyDescent="0.25">
      <c r="A22" s="18"/>
      <c r="B22" s="18"/>
      <c r="C22" s="18"/>
      <c r="D22" s="18"/>
      <c r="E22" s="18"/>
      <c r="F22" s="18"/>
      <c r="G22" s="18"/>
      <c r="H22" s="18"/>
      <c r="I22" s="18"/>
      <c r="J22" s="18"/>
      <c r="K22" s="18"/>
      <c r="L22" s="18"/>
      <c r="M22" s="18"/>
      <c r="N22" s="18"/>
      <c r="O22" s="18"/>
      <c r="P22" s="18"/>
      <c r="Q22" s="18"/>
      <c r="R22" s="18"/>
      <c r="S22" s="18"/>
      <c r="T22" s="18"/>
      <c r="U22" s="18"/>
    </row>
    <row r="23" spans="1:21" x14ac:dyDescent="0.25">
      <c r="A23" s="18"/>
      <c r="B23" s="18"/>
      <c r="C23" s="18"/>
      <c r="D23" s="18"/>
      <c r="E23" s="18"/>
      <c r="F23" s="18"/>
      <c r="G23" s="18"/>
      <c r="H23" s="18"/>
      <c r="I23" s="18"/>
      <c r="J23" s="18"/>
      <c r="K23" s="18"/>
      <c r="L23" s="18"/>
      <c r="M23" s="18"/>
      <c r="N23" s="18"/>
      <c r="O23" s="18"/>
      <c r="P23" s="18"/>
      <c r="Q23" s="18"/>
      <c r="R23" s="18"/>
      <c r="S23" s="18"/>
      <c r="T23" s="18"/>
      <c r="U23" s="18"/>
    </row>
    <row r="24" spans="1:21" x14ac:dyDescent="0.25">
      <c r="A24" s="18"/>
      <c r="B24" s="18"/>
      <c r="C24" s="18"/>
      <c r="D24" s="18"/>
      <c r="E24" s="18"/>
      <c r="F24" s="18"/>
      <c r="G24" s="18"/>
      <c r="H24" s="18"/>
      <c r="I24" s="18"/>
      <c r="J24" s="18"/>
      <c r="K24" s="18"/>
      <c r="L24" s="18"/>
      <c r="M24" s="18"/>
      <c r="N24" s="18"/>
      <c r="O24" s="18"/>
      <c r="P24" s="18"/>
      <c r="Q24" s="18"/>
      <c r="R24" s="18"/>
      <c r="S24" s="18"/>
      <c r="T24" s="18"/>
      <c r="U24" s="18"/>
    </row>
    <row r="25" spans="1:21" x14ac:dyDescent="0.25">
      <c r="A25" s="18"/>
      <c r="B25" s="18"/>
      <c r="C25" s="18"/>
      <c r="D25" s="18"/>
      <c r="E25" s="18"/>
      <c r="F25" s="18"/>
      <c r="G25" s="18"/>
      <c r="H25" s="18"/>
      <c r="I25" s="18"/>
      <c r="J25" s="18"/>
      <c r="K25" s="18"/>
      <c r="L25" s="18"/>
      <c r="M25" s="18"/>
      <c r="N25" s="18"/>
      <c r="O25" s="18"/>
      <c r="P25" s="18"/>
      <c r="Q25" s="18"/>
      <c r="R25" s="18"/>
      <c r="S25" s="18"/>
      <c r="T25" s="18"/>
      <c r="U25" s="18"/>
    </row>
    <row r="26" spans="1:21" x14ac:dyDescent="0.25">
      <c r="A26" s="18"/>
      <c r="B26" s="18"/>
      <c r="C26" s="18"/>
      <c r="D26" s="18"/>
      <c r="E26" s="18"/>
      <c r="F26" s="18"/>
      <c r="G26" s="18"/>
      <c r="H26" s="18"/>
      <c r="I26" s="18"/>
      <c r="J26" s="18"/>
      <c r="K26" s="18"/>
      <c r="L26" s="18"/>
      <c r="M26" s="18"/>
      <c r="N26" s="18"/>
      <c r="O26" s="18"/>
      <c r="P26" s="18"/>
      <c r="Q26" s="18"/>
      <c r="R26" s="18"/>
      <c r="S26" s="18"/>
      <c r="T26" s="18"/>
      <c r="U26" s="18"/>
    </row>
    <row r="27" spans="1:21" x14ac:dyDescent="0.25">
      <c r="A27" s="18"/>
      <c r="B27" s="18"/>
      <c r="C27" s="18"/>
      <c r="D27" s="18"/>
      <c r="E27" s="18"/>
      <c r="F27" s="18"/>
      <c r="G27" s="18"/>
      <c r="H27" s="18"/>
      <c r="I27" s="18"/>
      <c r="J27" s="18"/>
      <c r="K27" s="18"/>
      <c r="L27" s="18"/>
      <c r="M27" s="18"/>
      <c r="N27" s="18"/>
      <c r="O27" s="18"/>
      <c r="P27" s="18"/>
      <c r="Q27" s="18"/>
      <c r="R27" s="18"/>
      <c r="S27" s="18"/>
      <c r="T27" s="18"/>
      <c r="U27" s="18"/>
    </row>
    <row r="28" spans="1:21" x14ac:dyDescent="0.25">
      <c r="A28" s="18"/>
      <c r="B28" s="18"/>
      <c r="C28" s="18"/>
      <c r="D28" s="18"/>
      <c r="E28" s="18"/>
      <c r="F28" s="18"/>
      <c r="G28" s="18"/>
      <c r="H28" s="18"/>
      <c r="I28" s="18"/>
      <c r="J28" s="18"/>
      <c r="K28" s="18"/>
      <c r="L28" s="18"/>
      <c r="M28" s="18"/>
      <c r="N28" s="18"/>
      <c r="O28" s="18"/>
      <c r="P28" s="18"/>
      <c r="Q28" s="18"/>
      <c r="R28" s="18"/>
      <c r="S28" s="18"/>
      <c r="T28" s="18"/>
      <c r="U28" s="18"/>
    </row>
    <row r="29" spans="1:21" x14ac:dyDescent="0.25">
      <c r="A29" s="18"/>
      <c r="B29" s="18"/>
      <c r="C29" s="18"/>
      <c r="D29" s="18"/>
      <c r="E29" s="18"/>
      <c r="F29" s="18"/>
      <c r="G29" s="18"/>
      <c r="H29" s="18"/>
      <c r="I29" s="18"/>
      <c r="J29" s="18"/>
      <c r="K29" s="18"/>
      <c r="L29" s="18"/>
      <c r="M29" s="18"/>
      <c r="N29" s="18"/>
      <c r="O29" s="18"/>
      <c r="P29" s="18"/>
      <c r="Q29" s="18"/>
      <c r="R29" s="18"/>
      <c r="S29" s="18"/>
      <c r="T29" s="18"/>
      <c r="U29" s="18"/>
    </row>
    <row r="30" spans="1:21" x14ac:dyDescent="0.25">
      <c r="A30" s="18"/>
      <c r="B30" s="18"/>
      <c r="C30" s="18"/>
      <c r="D30" s="18"/>
      <c r="E30" s="18"/>
      <c r="F30" s="18"/>
      <c r="G30" s="18"/>
      <c r="H30" s="18"/>
      <c r="I30" s="18"/>
      <c r="J30" s="18"/>
      <c r="K30" s="18"/>
      <c r="L30" s="18"/>
      <c r="M30" s="18"/>
      <c r="N30" s="18"/>
      <c r="O30" s="18"/>
      <c r="P30" s="18"/>
      <c r="Q30" s="18"/>
      <c r="R30" s="18"/>
      <c r="S30" s="18"/>
      <c r="T30" s="18"/>
      <c r="U30" s="18"/>
    </row>
    <row r="31" spans="1:21" x14ac:dyDescent="0.25">
      <c r="A31" s="18"/>
      <c r="B31" s="18"/>
      <c r="C31" s="18"/>
      <c r="D31" s="18"/>
      <c r="E31" s="18"/>
      <c r="F31" s="18"/>
      <c r="G31" s="18"/>
      <c r="H31" s="18"/>
      <c r="I31" s="18"/>
      <c r="J31" s="18"/>
      <c r="K31" s="18"/>
      <c r="L31" s="18"/>
      <c r="M31" s="18"/>
      <c r="N31" s="18"/>
      <c r="O31" s="18"/>
      <c r="P31" s="18"/>
      <c r="Q31" s="18"/>
      <c r="R31" s="18"/>
      <c r="S31" s="18"/>
      <c r="T31" s="18"/>
      <c r="U31" s="18"/>
    </row>
    <row r="32" spans="1:21" x14ac:dyDescent="0.25">
      <c r="A32" s="18"/>
      <c r="B32" s="18"/>
      <c r="C32" s="18"/>
      <c r="D32" s="18"/>
      <c r="E32" s="18"/>
      <c r="F32" s="18"/>
      <c r="G32" s="18"/>
      <c r="H32" s="18"/>
      <c r="I32" s="18"/>
      <c r="J32" s="18"/>
      <c r="K32" s="18"/>
      <c r="L32" s="18"/>
      <c r="M32" s="18"/>
      <c r="N32" s="18"/>
      <c r="O32" s="18"/>
      <c r="P32" s="18"/>
      <c r="Q32" s="18"/>
      <c r="R32" s="18"/>
      <c r="S32" s="18"/>
      <c r="T32" s="18"/>
      <c r="U32" s="18"/>
    </row>
  </sheetData>
  <sheetProtection sheet="1" objects="1" scenarios="1" selectLockedCells="1"/>
  <mergeCells count="13">
    <mergeCell ref="C16:E16"/>
    <mergeCell ref="B3:F3"/>
    <mergeCell ref="B4:F4"/>
    <mergeCell ref="B5:F5"/>
    <mergeCell ref="B6:F6"/>
    <mergeCell ref="B8:F8"/>
    <mergeCell ref="B7:F7"/>
    <mergeCell ref="B9:F9"/>
    <mergeCell ref="B10:F10"/>
    <mergeCell ref="B11:F11"/>
    <mergeCell ref="B12:F12"/>
    <mergeCell ref="B14:F14"/>
    <mergeCell ref="B13:F13"/>
  </mergeCells>
  <phoneticPr fontId="0" type="noConversion"/>
  <conditionalFormatting sqref="D19">
    <cfRule type="expression" dxfId="7" priority="1">
      <formula>$G20&lt;D$2</formula>
    </cfRule>
  </conditionalFormatting>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AH68"/>
  <sheetViews>
    <sheetView showRowColHeaders="0" tabSelected="1" zoomScaleNormal="100" workbookViewId="0">
      <selection activeCell="L4" sqref="L4"/>
    </sheetView>
  </sheetViews>
  <sheetFormatPr defaultRowHeight="13.2" x14ac:dyDescent="0.25"/>
  <cols>
    <col min="1" max="1" width="2.109375" customWidth="1"/>
    <col min="2" max="2" width="10.88671875" customWidth="1"/>
    <col min="3" max="3" width="10.33203125" customWidth="1"/>
    <col min="4" max="4" width="6.33203125" customWidth="1"/>
    <col min="5" max="5" width="7.88671875" customWidth="1"/>
    <col min="6" max="6" width="8.6640625" customWidth="1"/>
    <col min="7" max="7" width="2.109375" customWidth="1"/>
    <col min="8" max="8" width="10.44140625" customWidth="1"/>
    <col min="9" max="9" width="11" customWidth="1"/>
    <col min="10" max="10" width="3.109375" customWidth="1"/>
    <col min="11" max="11" width="4" customWidth="1"/>
    <col min="12" max="12" width="7.88671875" customWidth="1"/>
    <col min="13" max="13" width="11.44140625" customWidth="1"/>
    <col min="14" max="14" width="2.109375" customWidth="1"/>
    <col min="15" max="15" width="13.6640625" customWidth="1"/>
    <col min="16" max="16" width="8.88671875" customWidth="1"/>
    <col min="17" max="17" width="7.33203125" customWidth="1"/>
    <col min="18" max="18" width="8.88671875" customWidth="1"/>
    <col min="21" max="25" width="8.88671875" customWidth="1"/>
    <col min="26" max="26" width="8.33203125" customWidth="1"/>
    <col min="27" max="28" width="8.88671875" customWidth="1"/>
  </cols>
  <sheetData>
    <row r="1" spans="1:34" ht="6" customHeight="1"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8"/>
      <c r="AE1" s="18"/>
      <c r="AF1" s="18"/>
      <c r="AG1" s="18"/>
      <c r="AH1" s="1"/>
    </row>
    <row r="2" spans="1:34" ht="21.75" customHeight="1" x14ac:dyDescent="0.25">
      <c r="A2" s="17"/>
      <c r="B2" s="134" t="s">
        <v>88</v>
      </c>
      <c r="C2" s="135"/>
      <c r="D2" s="136"/>
      <c r="E2" s="135"/>
      <c r="F2" s="135"/>
      <c r="G2" s="136"/>
      <c r="H2" s="136"/>
      <c r="I2" s="136"/>
      <c r="J2" s="136"/>
      <c r="K2" s="136"/>
      <c r="L2" s="136"/>
      <c r="M2" s="136"/>
      <c r="N2" s="135"/>
      <c r="O2" s="135"/>
      <c r="P2" s="135"/>
      <c r="Q2" s="135"/>
      <c r="R2" s="135"/>
      <c r="S2" s="135"/>
      <c r="T2" s="137"/>
      <c r="U2" s="17"/>
      <c r="V2" s="17"/>
      <c r="W2" s="17"/>
      <c r="X2" s="17"/>
      <c r="Y2" s="45"/>
      <c r="Z2" s="45"/>
      <c r="AA2" s="45"/>
      <c r="AB2" s="45"/>
      <c r="AC2" s="17"/>
      <c r="AD2" s="17"/>
      <c r="AE2" s="17"/>
      <c r="AF2" s="17"/>
      <c r="AG2" s="17"/>
      <c r="AH2" s="1"/>
    </row>
    <row r="3" spans="1:34" s="1" customFormat="1" ht="9" customHeight="1" x14ac:dyDescent="0.2">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row>
    <row r="4" spans="1:34" s="1" customFormat="1" ht="12.75" customHeight="1" x14ac:dyDescent="0.25">
      <c r="A4" s="17"/>
      <c r="B4" s="142" t="s">
        <v>10</v>
      </c>
      <c r="C4" s="122" t="s">
        <v>20</v>
      </c>
      <c r="D4" s="123"/>
      <c r="E4" s="34">
        <v>4500</v>
      </c>
      <c r="F4" s="42" t="s">
        <v>83</v>
      </c>
      <c r="G4" s="17"/>
      <c r="H4" s="126" t="s">
        <v>91</v>
      </c>
      <c r="I4" s="122" t="s">
        <v>45</v>
      </c>
      <c r="J4" s="130"/>
      <c r="K4" s="123"/>
      <c r="L4" s="37">
        <v>22.2</v>
      </c>
      <c r="M4" s="43" t="s">
        <v>25</v>
      </c>
      <c r="N4" s="17"/>
      <c r="O4" s="44"/>
      <c r="P4" s="44"/>
      <c r="Q4" s="17"/>
      <c r="R4" s="17"/>
      <c r="S4" s="45"/>
      <c r="T4" s="45"/>
      <c r="U4" s="17"/>
      <c r="V4" s="17"/>
      <c r="W4" s="17"/>
      <c r="X4" s="17"/>
      <c r="Y4" s="45"/>
      <c r="Z4" s="45"/>
      <c r="AA4" s="45"/>
      <c r="AB4" s="17"/>
      <c r="AC4" s="17"/>
      <c r="AD4" s="17"/>
      <c r="AE4" s="17"/>
      <c r="AF4" s="17"/>
      <c r="AG4" s="17"/>
    </row>
    <row r="5" spans="1:34" s="1" customFormat="1" ht="12.75" customHeight="1" x14ac:dyDescent="0.25">
      <c r="A5" s="17"/>
      <c r="B5" s="143"/>
      <c r="C5" s="117" t="s">
        <v>5</v>
      </c>
      <c r="D5" s="118"/>
      <c r="E5" s="34">
        <v>0</v>
      </c>
      <c r="F5" s="84" t="s">
        <v>80</v>
      </c>
      <c r="G5" s="17"/>
      <c r="H5" s="127"/>
      <c r="I5" s="117" t="s">
        <v>46</v>
      </c>
      <c r="J5" s="125"/>
      <c r="K5" s="118"/>
      <c r="L5" s="38">
        <v>550</v>
      </c>
      <c r="M5" s="46" t="s">
        <v>49</v>
      </c>
      <c r="N5" s="17"/>
      <c r="O5" s="44"/>
      <c r="P5" s="44"/>
      <c r="Q5" s="17"/>
      <c r="R5" s="17"/>
      <c r="S5" s="45"/>
      <c r="T5" s="45"/>
      <c r="U5" s="17"/>
      <c r="V5" s="17"/>
      <c r="W5" s="17"/>
      <c r="X5" s="17"/>
      <c r="Y5" s="45"/>
      <c r="Z5" s="45"/>
      <c r="AA5" s="45"/>
      <c r="AB5" s="17"/>
      <c r="AC5" s="17"/>
      <c r="AD5" s="17"/>
      <c r="AE5" s="17"/>
      <c r="AF5" s="17"/>
      <c r="AG5" s="17"/>
    </row>
    <row r="6" spans="1:34" s="1" customFormat="1" ht="12.75" customHeight="1" x14ac:dyDescent="0.25">
      <c r="A6" s="17"/>
      <c r="B6" s="143"/>
      <c r="C6" s="117" t="s">
        <v>4</v>
      </c>
      <c r="D6" s="118"/>
      <c r="E6" s="36">
        <v>0</v>
      </c>
      <c r="F6" s="85" t="s">
        <v>3</v>
      </c>
      <c r="G6" s="17"/>
      <c r="H6" s="127"/>
      <c r="I6" s="117" t="s">
        <v>47</v>
      </c>
      <c r="J6" s="125"/>
      <c r="K6" s="118"/>
      <c r="L6" s="38">
        <v>24.1</v>
      </c>
      <c r="M6" s="46" t="s">
        <v>89</v>
      </c>
      <c r="N6" s="17"/>
      <c r="O6" s="44"/>
      <c r="P6" s="44"/>
      <c r="Q6" s="17"/>
      <c r="R6" s="17"/>
      <c r="S6" s="45"/>
      <c r="T6" s="45"/>
      <c r="U6" s="17"/>
      <c r="V6" s="17"/>
      <c r="W6" s="17"/>
      <c r="X6" s="17"/>
      <c r="Y6" s="45"/>
      <c r="Z6" s="45"/>
      <c r="AA6" s="45"/>
      <c r="AB6" s="17"/>
      <c r="AC6" s="17"/>
      <c r="AD6" s="17"/>
      <c r="AE6" s="17"/>
      <c r="AF6" s="17"/>
      <c r="AG6" s="17"/>
    </row>
    <row r="7" spans="1:34" s="1" customFormat="1" ht="12.75" customHeight="1" x14ac:dyDescent="0.25">
      <c r="A7" s="17"/>
      <c r="B7" s="143"/>
      <c r="C7" s="117" t="s">
        <v>9</v>
      </c>
      <c r="D7" s="118"/>
      <c r="E7" s="47">
        <f>0.5*E8*(E5^2)</f>
        <v>0</v>
      </c>
      <c r="F7" s="48" t="s">
        <v>82</v>
      </c>
      <c r="G7" s="17"/>
      <c r="H7" s="49"/>
      <c r="I7" s="131" t="s">
        <v>50</v>
      </c>
      <c r="J7" s="125"/>
      <c r="K7" s="118"/>
      <c r="L7" s="38">
        <v>10</v>
      </c>
      <c r="M7" s="46" t="str">
        <f>IF('Data Table'!$A$2=1,"- n/a -","magnets")</f>
        <v>magnets</v>
      </c>
      <c r="N7" s="17"/>
      <c r="O7" s="44"/>
      <c r="P7" s="44"/>
      <c r="Q7" s="17"/>
      <c r="R7" s="17"/>
      <c r="S7" s="45"/>
      <c r="T7" s="45"/>
      <c r="U7" s="17"/>
      <c r="V7" s="17"/>
      <c r="W7" s="17"/>
      <c r="X7" s="17"/>
      <c r="Y7" s="45"/>
      <c r="Z7" s="45"/>
      <c r="AA7" s="45"/>
      <c r="AB7" s="17"/>
      <c r="AC7" s="17"/>
      <c r="AD7" s="17"/>
      <c r="AE7" s="17"/>
      <c r="AF7" s="17"/>
      <c r="AG7" s="17"/>
    </row>
    <row r="8" spans="1:34" s="1" customFormat="1" ht="12.75" customHeight="1" x14ac:dyDescent="0.25">
      <c r="A8" s="17"/>
      <c r="B8" s="144"/>
      <c r="C8" s="119" t="s">
        <v>1</v>
      </c>
      <c r="D8" s="121"/>
      <c r="E8" s="50">
        <f>3.14159*(E5^2)*(E6/1000)*E4</f>
        <v>0</v>
      </c>
      <c r="F8" s="51" t="s">
        <v>81</v>
      </c>
      <c r="G8" s="17"/>
      <c r="H8" s="52"/>
      <c r="I8" s="119" t="s">
        <v>8</v>
      </c>
      <c r="J8" s="120"/>
      <c r="K8" s="121"/>
      <c r="L8" s="39">
        <v>1.5</v>
      </c>
      <c r="M8" s="51" t="s">
        <v>2</v>
      </c>
      <c r="N8" s="17"/>
      <c r="O8" s="44"/>
      <c r="P8" s="44"/>
      <c r="Q8" s="44"/>
      <c r="R8" s="44"/>
      <c r="S8" s="44"/>
      <c r="T8" s="45"/>
      <c r="U8" s="17"/>
      <c r="V8" s="17"/>
      <c r="W8" s="17"/>
      <c r="X8" s="17"/>
      <c r="Y8" s="45"/>
      <c r="Z8" s="45"/>
      <c r="AA8" s="45"/>
      <c r="AB8" s="17"/>
      <c r="AC8" s="17"/>
      <c r="AD8" s="17"/>
      <c r="AE8" s="17"/>
      <c r="AF8" s="17"/>
      <c r="AG8" s="17"/>
    </row>
    <row r="9" spans="1:34" s="1" customFormat="1" ht="12.75" customHeight="1" x14ac:dyDescent="0.25">
      <c r="A9" s="17"/>
      <c r="B9" s="17"/>
      <c r="C9" s="17"/>
      <c r="D9" s="17"/>
      <c r="E9" s="17"/>
      <c r="F9" s="17"/>
      <c r="G9" s="17"/>
      <c r="H9" s="17"/>
      <c r="I9" s="17"/>
      <c r="J9" s="17"/>
      <c r="K9" s="17"/>
      <c r="L9" s="17"/>
      <c r="M9" s="17"/>
      <c r="N9" s="17"/>
      <c r="O9" s="44"/>
      <c r="P9" s="44"/>
      <c r="Q9" s="44"/>
      <c r="R9" s="44"/>
      <c r="S9" s="44"/>
      <c r="T9" s="45"/>
      <c r="U9" s="17"/>
      <c r="V9" s="17"/>
      <c r="W9" s="17"/>
      <c r="X9" s="17"/>
      <c r="Y9" s="45"/>
      <c r="Z9" s="45"/>
      <c r="AA9" s="45"/>
      <c r="AB9" s="17"/>
      <c r="AC9" s="17"/>
      <c r="AD9" s="17"/>
      <c r="AE9" s="17"/>
      <c r="AF9" s="17"/>
      <c r="AG9" s="17"/>
    </row>
    <row r="10" spans="1:34" s="1" customFormat="1" ht="12.75" customHeight="1" x14ac:dyDescent="0.25">
      <c r="A10" s="17"/>
      <c r="B10" s="139" t="s">
        <v>21</v>
      </c>
      <c r="C10" s="122" t="s">
        <v>20</v>
      </c>
      <c r="D10" s="123"/>
      <c r="E10" s="2">
        <v>7800</v>
      </c>
      <c r="F10" s="42" t="s">
        <v>83</v>
      </c>
      <c r="G10" s="53"/>
      <c r="H10" s="54" t="s">
        <v>74</v>
      </c>
      <c r="I10" s="122" t="s">
        <v>72</v>
      </c>
      <c r="J10" s="130"/>
      <c r="K10" s="123"/>
      <c r="L10" s="38">
        <v>1024</v>
      </c>
      <c r="M10" s="55" t="str">
        <f>IF('Data Table'!$A$2=1,"- n/a -","μ-sec")</f>
        <v>μ-sec</v>
      </c>
      <c r="N10" s="17"/>
      <c r="O10" s="44"/>
      <c r="P10" s="44"/>
      <c r="Q10" s="44"/>
      <c r="R10" s="44"/>
      <c r="S10" s="44"/>
      <c r="T10" s="45"/>
      <c r="U10" s="17"/>
      <c r="V10" s="17"/>
      <c r="W10" s="17"/>
      <c r="X10" s="17"/>
      <c r="Y10" s="45"/>
      <c r="Z10" s="45"/>
      <c r="AA10" s="45"/>
      <c r="AB10" s="17"/>
      <c r="AC10" s="17"/>
      <c r="AD10" s="17"/>
      <c r="AE10" s="17"/>
      <c r="AF10" s="17"/>
      <c r="AG10" s="17"/>
    </row>
    <row r="11" spans="1:34" s="1" customFormat="1" ht="12.75" customHeight="1" x14ac:dyDescent="0.25">
      <c r="A11" s="17"/>
      <c r="B11" s="140"/>
      <c r="C11" s="117" t="s">
        <v>33</v>
      </c>
      <c r="D11" s="118"/>
      <c r="E11" s="3">
        <v>0.2</v>
      </c>
      <c r="F11" s="84" t="s">
        <v>80</v>
      </c>
      <c r="G11" s="17"/>
      <c r="H11" s="56" t="s">
        <v>75</v>
      </c>
      <c r="I11" s="119" t="s">
        <v>73</v>
      </c>
      <c r="J11" s="120"/>
      <c r="K11" s="121"/>
      <c r="L11" s="41">
        <v>0.25</v>
      </c>
      <c r="M11" s="57" t="str">
        <f>IF('Data Table'!$A$2=1,"- n/a -","pulse")</f>
        <v>pulse</v>
      </c>
      <c r="N11" s="17"/>
      <c r="O11" s="44"/>
      <c r="P11" s="44"/>
      <c r="Q11" s="44"/>
      <c r="R11" s="44"/>
      <c r="S11" s="44"/>
      <c r="T11" s="45"/>
      <c r="U11" s="17"/>
      <c r="V11" s="17"/>
      <c r="W11" s="17"/>
      <c r="X11" s="17"/>
      <c r="Y11" s="45"/>
      <c r="Z11" s="45"/>
      <c r="AA11" s="45"/>
      <c r="AB11" s="17"/>
      <c r="AC11" s="17"/>
      <c r="AD11" s="17"/>
      <c r="AE11" s="17"/>
      <c r="AF11" s="17"/>
      <c r="AG11" s="17"/>
    </row>
    <row r="12" spans="1:34" s="1" customFormat="1" ht="12.75" customHeight="1" x14ac:dyDescent="0.25">
      <c r="A12" s="17"/>
      <c r="B12" s="140"/>
      <c r="C12" s="117" t="s">
        <v>23</v>
      </c>
      <c r="D12" s="118"/>
      <c r="E12" s="3">
        <v>0.05</v>
      </c>
      <c r="F12" s="84" t="s">
        <v>80</v>
      </c>
      <c r="G12" s="17"/>
      <c r="H12" s="44"/>
      <c r="I12" s="44"/>
      <c r="J12" s="44"/>
      <c r="K12" s="44"/>
      <c r="L12" s="44"/>
      <c r="M12" s="44"/>
      <c r="N12" s="17"/>
      <c r="O12" s="58"/>
      <c r="P12" s="58"/>
      <c r="Q12" s="58"/>
      <c r="R12" s="58"/>
      <c r="S12" s="58"/>
      <c r="T12" s="58"/>
      <c r="U12" s="17"/>
      <c r="V12" s="17"/>
      <c r="W12" s="17"/>
      <c r="X12" s="17"/>
      <c r="Y12" s="45"/>
      <c r="Z12" s="45"/>
      <c r="AA12" s="45"/>
      <c r="AB12" s="17"/>
      <c r="AC12" s="17"/>
      <c r="AD12" s="17"/>
      <c r="AE12" s="17"/>
      <c r="AF12" s="17"/>
      <c r="AG12" s="17"/>
    </row>
    <row r="13" spans="1:34" s="1" customFormat="1" ht="12.75" customHeight="1" x14ac:dyDescent="0.25">
      <c r="A13" s="17"/>
      <c r="B13" s="140"/>
      <c r="C13" s="117" t="s">
        <v>32</v>
      </c>
      <c r="D13" s="118"/>
      <c r="E13" s="4">
        <v>10</v>
      </c>
      <c r="F13" s="85" t="s">
        <v>3</v>
      </c>
      <c r="G13" s="17"/>
      <c r="H13" s="126" t="s">
        <v>64</v>
      </c>
      <c r="I13" s="122" t="s">
        <v>65</v>
      </c>
      <c r="J13" s="130"/>
      <c r="K13" s="123"/>
      <c r="L13" s="32">
        <v>0.95</v>
      </c>
      <c r="M13" s="62" t="s">
        <v>79</v>
      </c>
      <c r="N13" s="18"/>
      <c r="O13" s="18"/>
      <c r="P13" s="53"/>
      <c r="Q13" s="18"/>
      <c r="R13" s="18"/>
      <c r="S13" s="17"/>
      <c r="T13" s="17"/>
      <c r="U13" s="17"/>
      <c r="V13" s="17"/>
      <c r="W13" s="17"/>
      <c r="X13" s="17"/>
      <c r="Y13" s="45"/>
      <c r="Z13" s="45"/>
      <c r="AA13" s="17"/>
      <c r="AB13" s="17"/>
      <c r="AC13" s="17"/>
      <c r="AD13" s="17"/>
      <c r="AE13" s="17"/>
      <c r="AF13" s="17"/>
      <c r="AG13" s="17"/>
    </row>
    <row r="14" spans="1:34" s="1" customFormat="1" ht="12.75" customHeight="1" x14ac:dyDescent="0.25">
      <c r="A14" s="17"/>
      <c r="B14" s="140"/>
      <c r="C14" s="117" t="s">
        <v>9</v>
      </c>
      <c r="D14" s="118"/>
      <c r="E14" s="59">
        <f>0.5*E15*(E12^2+(E12-(E13/1000))^2)</f>
        <v>9.0421243380000051E-3</v>
      </c>
      <c r="F14" s="48" t="s">
        <v>82</v>
      </c>
      <c r="G14" s="17"/>
      <c r="H14" s="127"/>
      <c r="I14" s="117" t="s">
        <v>70</v>
      </c>
      <c r="J14" s="125"/>
      <c r="K14" s="118"/>
      <c r="L14" s="63">
        <f>VLOOKUP($L$13,'Data Table'!$F$6:$I$24,3,FALSE)</f>
        <v>7733</v>
      </c>
      <c r="M14" s="22" t="s">
        <v>0</v>
      </c>
      <c r="N14" s="18"/>
      <c r="O14" s="18"/>
      <c r="P14" s="53"/>
      <c r="Q14" s="18"/>
      <c r="R14" s="18"/>
      <c r="S14" s="17"/>
      <c r="T14" s="17"/>
      <c r="U14" s="17"/>
      <c r="V14" s="17"/>
      <c r="W14" s="17"/>
      <c r="X14" s="17"/>
      <c r="Y14" s="45"/>
      <c r="Z14" s="45"/>
      <c r="AA14" s="17"/>
      <c r="AB14" s="17"/>
      <c r="AC14" s="17"/>
      <c r="AD14" s="17"/>
      <c r="AE14" s="17"/>
      <c r="AF14" s="17"/>
      <c r="AG14" s="17"/>
    </row>
    <row r="15" spans="1:34" s="1" customFormat="1" ht="12.75" customHeight="1" x14ac:dyDescent="0.25">
      <c r="A15" s="17"/>
      <c r="B15" s="141"/>
      <c r="C15" s="119" t="s">
        <v>1</v>
      </c>
      <c r="D15" s="121"/>
      <c r="E15" s="60">
        <f>3.14159*E10*E11*(E12^2-((E12-(E13/1000))^2))</f>
        <v>4.4107923600000021</v>
      </c>
      <c r="F15" s="51" t="s">
        <v>81</v>
      </c>
      <c r="G15" s="17"/>
      <c r="H15" s="127"/>
      <c r="I15" s="117" t="s">
        <v>68</v>
      </c>
      <c r="J15" s="125"/>
      <c r="K15" s="118"/>
      <c r="L15" s="64">
        <f>ROUND(MAX($E$12,$E$5,$E$25,($E$18/2))*(2*3.14159)*(L14/60),0)</f>
        <v>97</v>
      </c>
      <c r="M15" s="65" t="s">
        <v>66</v>
      </c>
      <c r="N15" s="18"/>
      <c r="O15" s="18"/>
      <c r="P15" s="18"/>
      <c r="Q15" s="18"/>
      <c r="R15" s="18"/>
      <c r="S15" s="18"/>
      <c r="T15" s="17"/>
      <c r="U15" s="17"/>
      <c r="V15" s="17"/>
      <c r="W15" s="17"/>
      <c r="X15" s="17"/>
      <c r="Y15" s="45"/>
      <c r="Z15" s="45"/>
      <c r="AA15" s="17"/>
      <c r="AB15" s="17"/>
      <c r="AC15" s="17"/>
      <c r="AD15" s="17"/>
      <c r="AE15" s="17"/>
      <c r="AF15" s="17"/>
      <c r="AG15" s="17"/>
    </row>
    <row r="16" spans="1:34" s="1" customFormat="1" ht="12.75" customHeight="1" x14ac:dyDescent="0.25">
      <c r="A16" s="17"/>
      <c r="B16" s="17"/>
      <c r="C16" s="17"/>
      <c r="D16" s="17"/>
      <c r="E16" s="17"/>
      <c r="F16" s="17"/>
      <c r="G16" s="61"/>
      <c r="H16" s="127"/>
      <c r="I16" s="117" t="s">
        <v>67</v>
      </c>
      <c r="J16" s="125"/>
      <c r="K16" s="118"/>
      <c r="L16" s="63">
        <f>VLOOKUP($L$13,'Data Table'!$F$6:$I$24,4,FALSE)</f>
        <v>2980.6782431217521</v>
      </c>
      <c r="M16" s="46" t="s">
        <v>85</v>
      </c>
      <c r="N16" s="61"/>
      <c r="O16" s="17"/>
      <c r="P16" s="17"/>
      <c r="Q16" s="18"/>
      <c r="R16" s="18"/>
      <c r="S16" s="17"/>
      <c r="T16" s="17"/>
      <c r="U16" s="17"/>
      <c r="V16" s="17"/>
      <c r="W16" s="17"/>
      <c r="X16" s="17"/>
      <c r="Y16" s="45"/>
      <c r="Z16" s="45"/>
      <c r="AA16" s="17"/>
      <c r="AB16" s="17"/>
      <c r="AC16" s="17"/>
      <c r="AD16" s="17"/>
      <c r="AE16" s="17"/>
      <c r="AF16" s="17"/>
      <c r="AG16" s="17"/>
    </row>
    <row r="17" spans="1:33" s="1" customFormat="1" ht="12.75" customHeight="1" x14ac:dyDescent="0.25">
      <c r="A17" s="17"/>
      <c r="B17" s="142" t="s">
        <v>22</v>
      </c>
      <c r="C17" s="122" t="s">
        <v>20</v>
      </c>
      <c r="D17" s="123"/>
      <c r="E17" s="34">
        <v>0</v>
      </c>
      <c r="F17" s="42" t="s">
        <v>84</v>
      </c>
      <c r="G17" s="17"/>
      <c r="H17" s="138"/>
      <c r="I17" s="119" t="s">
        <v>69</v>
      </c>
      <c r="J17" s="120"/>
      <c r="K17" s="121"/>
      <c r="L17" s="67">
        <f>VLOOKUP($L$13,'Data Table'!$F$6:$I$24,2,FALSE)</f>
        <v>3.5330388712055534</v>
      </c>
      <c r="M17" s="68" t="s">
        <v>86</v>
      </c>
      <c r="N17" s="18"/>
      <c r="O17" s="18"/>
      <c r="P17" s="18"/>
      <c r="Q17" s="18"/>
      <c r="R17" s="18"/>
      <c r="S17" s="18"/>
      <c r="T17" s="17"/>
      <c r="U17" s="17"/>
      <c r="V17" s="17"/>
      <c r="W17" s="17"/>
      <c r="X17" s="17"/>
      <c r="Y17" s="17"/>
      <c r="Z17" s="17"/>
      <c r="AA17" s="17"/>
      <c r="AB17" s="17"/>
      <c r="AC17" s="17"/>
      <c r="AD17" s="17"/>
      <c r="AE17" s="17"/>
      <c r="AF17" s="17"/>
      <c r="AG17" s="17"/>
    </row>
    <row r="18" spans="1:33" s="1" customFormat="1" ht="12.75" customHeight="1" x14ac:dyDescent="0.25">
      <c r="A18" s="17"/>
      <c r="B18" s="143"/>
      <c r="C18" s="117" t="s">
        <v>6</v>
      </c>
      <c r="D18" s="118"/>
      <c r="E18" s="35">
        <v>0.24</v>
      </c>
      <c r="F18" s="84" t="s">
        <v>80</v>
      </c>
      <c r="G18" s="17"/>
      <c r="H18" s="17"/>
      <c r="I18" s="17"/>
      <c r="J18" s="17"/>
      <c r="K18" s="17"/>
      <c r="L18" s="17"/>
      <c r="M18" s="17"/>
      <c r="N18" s="18"/>
      <c r="O18" s="18"/>
      <c r="P18" s="18"/>
      <c r="Q18" s="18"/>
      <c r="R18" s="18"/>
      <c r="S18" s="18"/>
      <c r="T18" s="17"/>
      <c r="U18" s="17"/>
      <c r="V18" s="17"/>
      <c r="W18" s="17"/>
      <c r="X18" s="17"/>
      <c r="Y18" s="17"/>
      <c r="Z18" s="17"/>
      <c r="AA18" s="17"/>
      <c r="AB18" s="17"/>
      <c r="AC18" s="17"/>
      <c r="AD18" s="17"/>
      <c r="AE18" s="17"/>
      <c r="AF18" s="17"/>
      <c r="AG18" s="17"/>
    </row>
    <row r="19" spans="1:33" s="1" customFormat="1" ht="12.75" customHeight="1" x14ac:dyDescent="0.25">
      <c r="A19" s="17"/>
      <c r="B19" s="143"/>
      <c r="C19" s="117" t="s">
        <v>7</v>
      </c>
      <c r="D19" s="118"/>
      <c r="E19" s="35">
        <v>4.1000000000000002E-2</v>
      </c>
      <c r="F19" s="84" t="s">
        <v>80</v>
      </c>
      <c r="G19" s="17"/>
      <c r="H19" s="126" t="s">
        <v>100</v>
      </c>
      <c r="I19" s="129" t="s">
        <v>99</v>
      </c>
      <c r="J19" s="130"/>
      <c r="K19" s="123"/>
      <c r="L19" s="34">
        <v>8</v>
      </c>
      <c r="M19" s="55" t="s">
        <v>89</v>
      </c>
      <c r="N19" s="17"/>
      <c r="O19" s="18"/>
      <c r="P19" s="18"/>
      <c r="Q19" s="18"/>
      <c r="R19" s="18"/>
      <c r="S19" s="18"/>
      <c r="T19" s="18"/>
      <c r="U19" s="17"/>
      <c r="V19" s="17"/>
      <c r="W19" s="17"/>
      <c r="X19" s="17"/>
      <c r="Y19" s="17"/>
      <c r="Z19" s="17"/>
      <c r="AA19" s="17"/>
      <c r="AB19" s="17"/>
      <c r="AC19" s="17"/>
      <c r="AD19" s="17"/>
      <c r="AE19" s="17"/>
      <c r="AF19" s="17"/>
      <c r="AG19" s="17"/>
    </row>
    <row r="20" spans="1:33" s="1" customFormat="1" ht="12.75" customHeight="1" x14ac:dyDescent="0.25">
      <c r="A20" s="17"/>
      <c r="B20" s="143"/>
      <c r="C20" s="117" t="s">
        <v>4</v>
      </c>
      <c r="D20" s="118"/>
      <c r="E20" s="36">
        <v>12</v>
      </c>
      <c r="F20" s="85" t="s">
        <v>3</v>
      </c>
      <c r="G20" s="17"/>
      <c r="H20" s="127"/>
      <c r="I20" s="117" t="s">
        <v>30</v>
      </c>
      <c r="J20" s="125"/>
      <c r="K20" s="118"/>
      <c r="L20" s="34">
        <v>3</v>
      </c>
      <c r="M20" s="22" t="s">
        <v>26</v>
      </c>
      <c r="N20" s="17"/>
      <c r="O20" s="17"/>
      <c r="P20" s="18"/>
      <c r="Q20" s="18"/>
      <c r="R20" s="18"/>
      <c r="S20" s="18"/>
      <c r="T20" s="18"/>
      <c r="U20" s="17"/>
      <c r="V20" s="17"/>
      <c r="W20" s="17"/>
      <c r="X20" s="17"/>
      <c r="Y20" s="17"/>
      <c r="Z20" s="17"/>
      <c r="AA20" s="17"/>
      <c r="AB20" s="45"/>
      <c r="AC20" s="17"/>
      <c r="AD20" s="17"/>
      <c r="AE20" s="17"/>
      <c r="AF20" s="17"/>
      <c r="AG20" s="17"/>
    </row>
    <row r="21" spans="1:33" s="1" customFormat="1" ht="12.75" customHeight="1" x14ac:dyDescent="0.25">
      <c r="A21" s="17"/>
      <c r="B21" s="143"/>
      <c r="C21" s="117" t="s">
        <v>9</v>
      </c>
      <c r="D21" s="118"/>
      <c r="E21" s="66">
        <f>(E22/12)*(E18^2+E19^2)</f>
        <v>0</v>
      </c>
      <c r="F21" s="48" t="s">
        <v>82</v>
      </c>
      <c r="G21" s="17"/>
      <c r="H21" s="127"/>
      <c r="I21" s="117" t="s">
        <v>28</v>
      </c>
      <c r="J21" s="125"/>
      <c r="K21" s="118"/>
      <c r="L21" s="34">
        <v>8</v>
      </c>
      <c r="M21" s="22" t="s">
        <v>29</v>
      </c>
      <c r="N21" s="17"/>
      <c r="O21" s="17"/>
      <c r="P21" s="18"/>
      <c r="Q21" s="18"/>
      <c r="R21" s="18"/>
      <c r="S21" s="18"/>
      <c r="T21" s="18"/>
      <c r="U21" s="17"/>
      <c r="V21" s="17"/>
      <c r="W21" s="17"/>
      <c r="X21" s="17"/>
      <c r="Y21" s="17"/>
      <c r="Z21" s="17"/>
      <c r="AA21" s="17"/>
      <c r="AB21" s="45"/>
      <c r="AC21" s="17"/>
      <c r="AD21" s="17"/>
      <c r="AE21" s="17"/>
      <c r="AF21" s="17"/>
      <c r="AG21" s="17"/>
    </row>
    <row r="22" spans="1:33" s="1" customFormat="1" ht="12.75" customHeight="1" x14ac:dyDescent="0.25">
      <c r="A22" s="17"/>
      <c r="B22" s="144"/>
      <c r="C22" s="119" t="s">
        <v>1</v>
      </c>
      <c r="D22" s="121"/>
      <c r="E22" s="50">
        <f>E18*E19*(E20/1000)*E17</f>
        <v>0</v>
      </c>
      <c r="F22" s="51" t="s">
        <v>81</v>
      </c>
      <c r="G22" s="17"/>
      <c r="H22" s="128"/>
      <c r="I22" s="119" t="s">
        <v>31</v>
      </c>
      <c r="J22" s="120"/>
      <c r="K22" s="121"/>
      <c r="L22" s="50">
        <f>('Data Table'!I24/(1800*L4))*L21+('Data Table'!$G$2*0.05)*(L20/60)</f>
        <v>1.366496597371514</v>
      </c>
      <c r="M22" s="23" t="s">
        <v>27</v>
      </c>
      <c r="N22" s="17"/>
      <c r="O22" s="18"/>
      <c r="P22" s="18"/>
      <c r="Q22" s="18"/>
      <c r="R22" s="18"/>
      <c r="S22" s="18"/>
      <c r="T22" s="18"/>
      <c r="U22" s="17"/>
      <c r="V22" s="17"/>
      <c r="W22" s="17"/>
      <c r="X22" s="17"/>
      <c r="Y22" s="45"/>
      <c r="Z22" s="45"/>
      <c r="AA22" s="45"/>
      <c r="AB22" s="17"/>
      <c r="AC22" s="17"/>
      <c r="AD22" s="17"/>
      <c r="AE22" s="17"/>
      <c r="AF22" s="17"/>
      <c r="AG22" s="17"/>
    </row>
    <row r="23" spans="1:33" s="1" customFormat="1" ht="12.75" customHeight="1" x14ac:dyDescent="0.25">
      <c r="A23" s="17"/>
      <c r="B23" s="17"/>
      <c r="C23" s="17"/>
      <c r="D23" s="17"/>
      <c r="E23" s="17"/>
      <c r="F23" s="17"/>
      <c r="G23" s="17"/>
      <c r="H23" s="17"/>
      <c r="I23" s="17"/>
      <c r="J23" s="17"/>
      <c r="K23" s="17"/>
      <c r="L23" s="17"/>
      <c r="M23" s="17"/>
      <c r="N23" s="17"/>
      <c r="O23" s="18"/>
      <c r="P23" s="18"/>
      <c r="Q23" s="18"/>
      <c r="R23" s="18"/>
      <c r="S23" s="18"/>
      <c r="T23" s="18"/>
      <c r="U23" s="17"/>
      <c r="V23" s="17"/>
      <c r="W23" s="17"/>
      <c r="X23" s="17"/>
      <c r="Y23" s="45"/>
      <c r="Z23" s="45"/>
      <c r="AA23" s="45"/>
      <c r="AB23" s="17"/>
      <c r="AC23" s="17"/>
      <c r="AD23" s="17"/>
      <c r="AE23" s="17"/>
      <c r="AF23" s="17"/>
      <c r="AG23" s="17"/>
    </row>
    <row r="24" spans="1:33" s="1" customFormat="1" ht="12.75" customHeight="1" x14ac:dyDescent="0.25">
      <c r="A24" s="17"/>
      <c r="B24" s="145" t="s">
        <v>36</v>
      </c>
      <c r="C24" s="122" t="s">
        <v>35</v>
      </c>
      <c r="D24" s="123"/>
      <c r="E24" s="3">
        <v>0</v>
      </c>
      <c r="F24" s="70" t="s">
        <v>82</v>
      </c>
      <c r="G24" s="17"/>
      <c r="H24" s="146" t="s">
        <v>18</v>
      </c>
      <c r="I24" s="147"/>
      <c r="J24" s="17"/>
      <c r="K24" s="146" t="s">
        <v>78</v>
      </c>
      <c r="L24" s="162"/>
      <c r="M24" s="69" t="s">
        <v>19</v>
      </c>
      <c r="N24" s="17"/>
      <c r="O24" s="18"/>
      <c r="P24" s="18"/>
      <c r="Q24" s="18"/>
      <c r="R24" s="18"/>
      <c r="S24" s="18"/>
      <c r="T24" s="18"/>
      <c r="U24" s="17"/>
      <c r="V24" s="17"/>
      <c r="W24" s="17"/>
      <c r="X24" s="17"/>
      <c r="Y24" s="45"/>
      <c r="Z24" s="45"/>
      <c r="AA24" s="45"/>
      <c r="AB24" s="17"/>
      <c r="AC24" s="17"/>
      <c r="AD24" s="17"/>
      <c r="AE24" s="17"/>
      <c r="AF24" s="17"/>
      <c r="AG24" s="17"/>
    </row>
    <row r="25" spans="1:33" s="1" customFormat="1" ht="12.75" customHeight="1" thickBot="1" x14ac:dyDescent="0.3">
      <c r="A25" s="17"/>
      <c r="B25" s="138"/>
      <c r="C25" s="124" t="s">
        <v>93</v>
      </c>
      <c r="D25" s="121"/>
      <c r="E25" s="3">
        <v>0</v>
      </c>
      <c r="F25" s="86" t="s">
        <v>80</v>
      </c>
      <c r="G25" s="17"/>
      <c r="H25" s="115" t="s">
        <v>87</v>
      </c>
      <c r="I25" s="116"/>
      <c r="J25" s="17"/>
      <c r="K25" s="163" t="s">
        <v>51</v>
      </c>
      <c r="L25" s="164"/>
      <c r="M25" s="71">
        <v>7800</v>
      </c>
      <c r="N25" s="17"/>
      <c r="O25" s="18"/>
      <c r="P25" s="17"/>
      <c r="Q25" s="17"/>
      <c r="R25" s="17"/>
      <c r="S25" s="17"/>
      <c r="T25" s="17"/>
      <c r="U25" s="17"/>
      <c r="V25" s="17"/>
      <c r="W25" s="17"/>
      <c r="X25" s="17"/>
      <c r="Y25" s="45"/>
      <c r="Z25" s="45"/>
      <c r="AA25" s="45"/>
      <c r="AB25" s="17"/>
      <c r="AC25" s="17"/>
      <c r="AD25" s="17"/>
      <c r="AE25" s="17"/>
      <c r="AF25" s="17"/>
      <c r="AG25" s="17"/>
    </row>
    <row r="26" spans="1:33" s="1" customFormat="1" ht="12.75" customHeight="1" x14ac:dyDescent="0.25">
      <c r="A26" s="17"/>
      <c r="B26" s="17"/>
      <c r="C26" s="17"/>
      <c r="D26" s="17"/>
      <c r="E26" s="17"/>
      <c r="F26" s="17"/>
      <c r="G26" s="17"/>
      <c r="H26" s="40">
        <v>1370</v>
      </c>
      <c r="I26" s="72">
        <f>H26/141.69</f>
        <v>9.6689956948267337</v>
      </c>
      <c r="J26" s="17"/>
      <c r="K26" s="165" t="s">
        <v>52</v>
      </c>
      <c r="L26" s="166"/>
      <c r="M26" s="73">
        <v>4500</v>
      </c>
      <c r="N26" s="17"/>
      <c r="O26" s="18"/>
      <c r="P26" s="148" t="s">
        <v>71</v>
      </c>
      <c r="Q26" s="149"/>
      <c r="R26" s="149"/>
      <c r="S26" s="149"/>
      <c r="T26" s="150"/>
      <c r="U26" s="17"/>
      <c r="V26" s="17"/>
      <c r="W26" s="17"/>
      <c r="X26" s="17"/>
      <c r="Y26" s="45"/>
      <c r="Z26" s="45"/>
      <c r="AA26" s="45"/>
      <c r="AB26" s="45"/>
      <c r="AC26" s="17"/>
      <c r="AD26" s="17"/>
      <c r="AE26" s="17"/>
      <c r="AF26" s="17"/>
      <c r="AG26" s="17"/>
    </row>
    <row r="27" spans="1:33" s="1" customFormat="1" ht="12.75" customHeight="1" x14ac:dyDescent="0.25">
      <c r="A27" s="17"/>
      <c r="B27" s="126" t="s">
        <v>11</v>
      </c>
      <c r="C27" s="122" t="s">
        <v>1</v>
      </c>
      <c r="D27" s="123"/>
      <c r="E27" s="67">
        <f>$E$15+$E$8+$E$22</f>
        <v>4.4107923600000021</v>
      </c>
      <c r="F27" s="55" t="s">
        <v>81</v>
      </c>
      <c r="G27" s="17"/>
      <c r="H27" s="115" t="s">
        <v>77</v>
      </c>
      <c r="I27" s="116"/>
      <c r="J27" s="17"/>
      <c r="K27" s="160" t="s">
        <v>53</v>
      </c>
      <c r="L27" s="161"/>
      <c r="M27" s="74">
        <v>2760</v>
      </c>
      <c r="N27" s="17"/>
      <c r="O27" s="17"/>
      <c r="P27" s="151"/>
      <c r="Q27" s="152"/>
      <c r="R27" s="152"/>
      <c r="S27" s="152"/>
      <c r="T27" s="153"/>
      <c r="U27" s="17"/>
      <c r="V27" s="17"/>
      <c r="W27" s="17"/>
      <c r="X27" s="17"/>
      <c r="Y27" s="45"/>
      <c r="Z27" s="45"/>
      <c r="AA27" s="45"/>
      <c r="AB27" s="45"/>
      <c r="AC27" s="17"/>
      <c r="AD27" s="17"/>
      <c r="AE27" s="17"/>
      <c r="AF27" s="17"/>
      <c r="AG27" s="17"/>
    </row>
    <row r="28" spans="1:33" s="1" customFormat="1" ht="12.75" customHeight="1" x14ac:dyDescent="0.25">
      <c r="A28" s="17"/>
      <c r="B28" s="128"/>
      <c r="C28" s="119" t="s">
        <v>9</v>
      </c>
      <c r="D28" s="121"/>
      <c r="E28" s="76">
        <f>$E$14+$E$7+$E$21+$E$24</f>
        <v>9.0421243380000051E-3</v>
      </c>
      <c r="F28" s="82" t="s">
        <v>82</v>
      </c>
      <c r="G28" s="17"/>
      <c r="H28" s="40">
        <v>16</v>
      </c>
      <c r="I28" s="75">
        <f>H28/39.37</f>
        <v>0.40640081280162565</v>
      </c>
      <c r="J28" s="17"/>
      <c r="K28" s="165" t="s">
        <v>54</v>
      </c>
      <c r="L28" s="166"/>
      <c r="M28" s="73">
        <v>1770</v>
      </c>
      <c r="N28" s="17"/>
      <c r="O28" s="17"/>
      <c r="P28" s="154" t="s">
        <v>96</v>
      </c>
      <c r="Q28" s="155"/>
      <c r="R28" s="155"/>
      <c r="S28" s="155"/>
      <c r="T28" s="156"/>
      <c r="U28" s="17"/>
      <c r="V28" s="17"/>
      <c r="W28" s="17"/>
      <c r="X28" s="17"/>
      <c r="Y28" s="45"/>
      <c r="Z28" s="45"/>
      <c r="AA28" s="45"/>
      <c r="AB28" s="45"/>
      <c r="AC28" s="17"/>
      <c r="AD28" s="17"/>
      <c r="AE28" s="17"/>
      <c r="AF28" s="17"/>
      <c r="AG28" s="17"/>
    </row>
    <row r="29" spans="1:33" s="1" customFormat="1" ht="12.75" customHeight="1" x14ac:dyDescent="0.25">
      <c r="A29" s="17"/>
      <c r="B29" s="61"/>
      <c r="C29" s="61"/>
      <c r="D29" s="61"/>
      <c r="E29" s="61"/>
      <c r="F29" s="61"/>
      <c r="G29" s="17"/>
      <c r="H29" s="115" t="s">
        <v>76</v>
      </c>
      <c r="I29" s="116"/>
      <c r="J29" s="17"/>
      <c r="K29" s="160" t="s">
        <v>55</v>
      </c>
      <c r="L29" s="161"/>
      <c r="M29" s="74">
        <v>1600</v>
      </c>
      <c r="N29" s="17"/>
      <c r="O29" s="17"/>
      <c r="P29" s="157" t="s">
        <v>90</v>
      </c>
      <c r="Q29" s="158"/>
      <c r="R29" s="158"/>
      <c r="S29" s="158"/>
      <c r="T29" s="159"/>
      <c r="U29" s="17"/>
      <c r="V29" s="17"/>
      <c r="W29" s="17"/>
      <c r="X29" s="17"/>
      <c r="Y29" s="45"/>
      <c r="Z29" s="45"/>
      <c r="AA29" s="45"/>
      <c r="AB29" s="17"/>
      <c r="AC29" s="17"/>
      <c r="AD29" s="17"/>
      <c r="AE29" s="17"/>
      <c r="AF29" s="17"/>
      <c r="AG29" s="17"/>
    </row>
    <row r="30" spans="1:33" s="1" customFormat="1" ht="12.75" customHeight="1" thickBot="1" x14ac:dyDescent="0.3">
      <c r="A30" s="17"/>
      <c r="B30" s="61"/>
      <c r="C30" s="61"/>
      <c r="D30" s="61"/>
      <c r="E30" s="61"/>
      <c r="F30" s="61"/>
      <c r="G30" s="17"/>
      <c r="H30" s="40">
        <v>0.38</v>
      </c>
      <c r="I30" s="72">
        <f>H30/0.4536</f>
        <v>0.83774250440917108</v>
      </c>
      <c r="J30" s="17"/>
      <c r="K30" s="132" t="s">
        <v>56</v>
      </c>
      <c r="L30" s="133"/>
      <c r="M30" s="77">
        <v>1200</v>
      </c>
      <c r="N30" s="17"/>
      <c r="O30" s="17"/>
      <c r="P30" s="78"/>
      <c r="Q30" s="79"/>
      <c r="R30" s="79"/>
      <c r="S30" s="79"/>
      <c r="T30" s="80"/>
      <c r="U30" s="17"/>
      <c r="V30" s="17"/>
      <c r="W30" s="17"/>
      <c r="X30" s="17"/>
      <c r="Y30" s="45"/>
      <c r="Z30" s="45"/>
      <c r="AA30" s="45"/>
      <c r="AB30" s="17"/>
      <c r="AC30" s="17"/>
      <c r="AD30" s="17"/>
      <c r="AE30" s="17"/>
      <c r="AF30" s="17"/>
      <c r="AG30" s="17"/>
    </row>
    <row r="31" spans="1:33" s="1" customFormat="1" ht="12.75" customHeight="1" x14ac:dyDescent="0.25">
      <c r="A31" s="17"/>
      <c r="B31" s="61"/>
      <c r="C31" s="61"/>
      <c r="D31" s="61"/>
      <c r="E31" s="61"/>
      <c r="F31" s="61"/>
      <c r="G31" s="17"/>
      <c r="H31" s="17"/>
      <c r="I31" s="17"/>
      <c r="J31" s="17"/>
      <c r="K31" s="17"/>
      <c r="L31" s="17"/>
      <c r="M31" s="17"/>
      <c r="N31" s="17"/>
      <c r="O31" s="17"/>
      <c r="P31" s="17"/>
      <c r="Q31" s="17"/>
      <c r="R31" s="17"/>
      <c r="S31" s="17"/>
      <c r="T31" s="17"/>
      <c r="U31" s="17"/>
      <c r="V31" s="17"/>
      <c r="W31" s="17"/>
      <c r="X31" s="17"/>
      <c r="Y31" s="45"/>
      <c r="Z31" s="45"/>
      <c r="AA31" s="45"/>
      <c r="AB31" s="17"/>
      <c r="AC31" s="17"/>
      <c r="AD31" s="17"/>
      <c r="AE31" s="17"/>
      <c r="AF31" s="17"/>
      <c r="AG31" s="17"/>
    </row>
    <row r="32" spans="1:33" s="1" customFormat="1" ht="13.2" customHeight="1" x14ac:dyDescent="0.25">
      <c r="A32" s="17"/>
      <c r="B32" s="61"/>
      <c r="C32" s="61"/>
      <c r="D32" s="61"/>
      <c r="E32" s="61"/>
      <c r="F32" s="61"/>
      <c r="G32" s="44"/>
      <c r="H32" s="17"/>
      <c r="I32" s="17"/>
      <c r="J32" s="17"/>
      <c r="K32" s="17"/>
      <c r="L32" s="81"/>
      <c r="M32" s="81"/>
      <c r="N32" s="17"/>
      <c r="O32" s="17"/>
      <c r="P32" s="17"/>
      <c r="Q32" s="17"/>
      <c r="R32" s="17"/>
      <c r="S32" s="17"/>
      <c r="T32" s="17"/>
      <c r="U32" s="17"/>
      <c r="V32" s="17"/>
      <c r="W32" s="17"/>
      <c r="X32" s="17"/>
      <c r="Y32" s="45"/>
      <c r="Z32" s="45"/>
      <c r="AA32" s="45"/>
      <c r="AB32" s="17"/>
      <c r="AC32" s="17"/>
      <c r="AD32" s="17"/>
      <c r="AE32" s="17"/>
      <c r="AF32" s="17"/>
      <c r="AG32" s="17"/>
    </row>
    <row r="33" spans="1:33" s="1" customFormat="1" x14ac:dyDescent="0.25">
      <c r="A33" s="17"/>
      <c r="B33" s="61"/>
      <c r="C33" s="61"/>
      <c r="D33" s="61"/>
      <c r="E33" s="61"/>
      <c r="F33" s="61"/>
      <c r="G33" s="44"/>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row>
    <row r="34" spans="1:33" s="1" customFormat="1" x14ac:dyDescent="0.25">
      <c r="A34" s="17"/>
      <c r="B34" s="61"/>
      <c r="C34" s="61"/>
      <c r="D34" s="61"/>
      <c r="E34" s="61"/>
      <c r="F34" s="61"/>
      <c r="G34" s="44"/>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row>
    <row r="35" spans="1:33" s="1" customFormat="1" x14ac:dyDescent="0.25">
      <c r="A35" s="17"/>
      <c r="B35" s="61"/>
      <c r="C35" s="61"/>
      <c r="D35" s="61"/>
      <c r="E35" s="61"/>
      <c r="F35" s="61"/>
      <c r="G35" s="44"/>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row>
    <row r="36" spans="1:33" s="1" customFormat="1" ht="12" customHeight="1" x14ac:dyDescent="0.25">
      <c r="A36" s="17"/>
      <c r="B36" s="61"/>
      <c r="C36" s="61"/>
      <c r="D36" s="61"/>
      <c r="E36" s="61"/>
      <c r="F36" s="61"/>
      <c r="G36" s="44"/>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row>
    <row r="37" spans="1:33" x14ac:dyDescent="0.25">
      <c r="A37" s="17"/>
      <c r="B37" s="61"/>
      <c r="C37" s="61"/>
      <c r="D37" s="61"/>
      <c r="E37" s="61"/>
      <c r="F37" s="61"/>
      <c r="G37" s="44"/>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row>
    <row r="38" spans="1:33" x14ac:dyDescent="0.25">
      <c r="A38" s="17"/>
      <c r="B38" s="61"/>
      <c r="C38" s="61"/>
      <c r="D38" s="61"/>
      <c r="E38" s="61"/>
      <c r="F38" s="61"/>
      <c r="G38" s="44"/>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row>
    <row r="39" spans="1:33" ht="13.2" customHeight="1" x14ac:dyDescent="0.25">
      <c r="A39" s="17"/>
      <c r="B39" s="61"/>
      <c r="C39" s="61"/>
      <c r="D39" s="61"/>
      <c r="E39" s="61"/>
      <c r="F39" s="61"/>
      <c r="G39" s="44"/>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row>
    <row r="40" spans="1:33" ht="12.6" customHeight="1" x14ac:dyDescent="0.25">
      <c r="A40" s="17"/>
      <c r="B40" s="61"/>
      <c r="C40" s="61"/>
      <c r="D40" s="61"/>
      <c r="E40" s="61"/>
      <c r="F40" s="61"/>
      <c r="G40" s="44"/>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row>
    <row r="41" spans="1:33" x14ac:dyDescent="0.25">
      <c r="A41" s="17"/>
      <c r="B41" s="61"/>
      <c r="C41" s="61"/>
      <c r="D41" s="61"/>
      <c r="E41" s="61"/>
      <c r="F41" s="61"/>
      <c r="G41" s="44"/>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row>
    <row r="42" spans="1:33" x14ac:dyDescent="0.25">
      <c r="A42" s="17"/>
      <c r="B42" s="61"/>
      <c r="C42" s="61"/>
      <c r="D42" s="61"/>
      <c r="E42" s="61"/>
      <c r="F42" s="61"/>
      <c r="G42" s="44"/>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row>
    <row r="43" spans="1:33" x14ac:dyDescent="0.25">
      <c r="A43" s="17"/>
      <c r="B43" s="61"/>
      <c r="C43" s="61"/>
      <c r="D43" s="61"/>
      <c r="E43" s="61"/>
      <c r="F43" s="61"/>
      <c r="G43" s="44"/>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row>
    <row r="44" spans="1:33" x14ac:dyDescent="0.25">
      <c r="A44" s="17"/>
      <c r="B44" s="61"/>
      <c r="C44" s="61"/>
      <c r="D44" s="61"/>
      <c r="E44" s="61"/>
      <c r="F44" s="61"/>
      <c r="G44" s="44"/>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row>
    <row r="45" spans="1:33" x14ac:dyDescent="0.25">
      <c r="A45" s="17"/>
      <c r="B45" s="61"/>
      <c r="C45" s="61"/>
      <c r="D45" s="61"/>
      <c r="E45" s="61"/>
      <c r="F45" s="61"/>
      <c r="G45" s="44"/>
      <c r="H45" s="17"/>
      <c r="I45" s="17"/>
      <c r="J45" s="17"/>
      <c r="K45" s="17"/>
      <c r="L45" s="17"/>
      <c r="M45" s="17"/>
      <c r="N45" s="58"/>
      <c r="O45" s="17"/>
      <c r="P45" s="17"/>
      <c r="Q45" s="17"/>
      <c r="R45" s="17"/>
      <c r="S45" s="17"/>
      <c r="T45" s="17"/>
      <c r="U45" s="17"/>
      <c r="V45" s="17"/>
      <c r="W45" s="17"/>
      <c r="X45" s="17"/>
      <c r="Y45" s="17"/>
      <c r="Z45" s="17"/>
      <c r="AA45" s="17"/>
      <c r="AB45" s="17"/>
      <c r="AC45" s="17"/>
      <c r="AD45" s="17"/>
      <c r="AE45" s="17"/>
      <c r="AF45" s="17"/>
      <c r="AG45" s="17"/>
    </row>
    <row r="46" spans="1:33" x14ac:dyDescent="0.25">
      <c r="A46" s="17"/>
      <c r="B46" s="61"/>
      <c r="C46" s="61"/>
      <c r="D46" s="61"/>
      <c r="E46" s="61"/>
      <c r="F46" s="61"/>
      <c r="G46" s="44"/>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row>
    <row r="47" spans="1:33" ht="13.2" customHeight="1" x14ac:dyDescent="0.25">
      <c r="A47" s="17"/>
      <c r="B47" s="61"/>
      <c r="C47" s="61"/>
      <c r="D47" s="61"/>
      <c r="E47" s="61"/>
      <c r="F47" s="61"/>
      <c r="G47" s="44"/>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row>
    <row r="48" spans="1:33" x14ac:dyDescent="0.25">
      <c r="A48" s="17"/>
      <c r="B48" s="61"/>
      <c r="C48" s="61"/>
      <c r="D48" s="61"/>
      <c r="E48" s="61"/>
      <c r="F48" s="61"/>
      <c r="G48" s="44"/>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row>
    <row r="49" spans="1:33" x14ac:dyDescent="0.25">
      <c r="A49" s="17"/>
      <c r="B49" s="61"/>
      <c r="C49" s="61"/>
      <c r="D49" s="61"/>
      <c r="E49" s="61"/>
      <c r="F49" s="61"/>
      <c r="G49" s="44"/>
      <c r="H49" s="81"/>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row>
    <row r="50" spans="1:33" x14ac:dyDescent="0.25">
      <c r="A50" s="17"/>
      <c r="B50" s="61"/>
      <c r="C50" s="61"/>
      <c r="D50" s="61"/>
      <c r="E50" s="61"/>
      <c r="F50" s="61"/>
      <c r="G50" s="44"/>
      <c r="H50" s="81"/>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row>
    <row r="51" spans="1:33" x14ac:dyDescent="0.25">
      <c r="A51" s="17"/>
      <c r="B51" s="61"/>
      <c r="C51" s="61"/>
      <c r="D51" s="61"/>
      <c r="E51" s="61"/>
      <c r="F51" s="61"/>
      <c r="G51" s="44"/>
      <c r="H51" s="81"/>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row>
    <row r="52" spans="1:33" x14ac:dyDescent="0.25">
      <c r="A52" s="17"/>
      <c r="B52" s="61"/>
      <c r="C52" s="61"/>
      <c r="D52" s="61"/>
      <c r="E52" s="61"/>
      <c r="F52" s="61"/>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row>
    <row r="53" spans="1:33" x14ac:dyDescent="0.25">
      <c r="A53" s="17"/>
      <c r="B53" s="61"/>
      <c r="C53" s="61"/>
      <c r="D53" s="61"/>
      <c r="E53" s="61"/>
      <c r="F53" s="61"/>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row>
    <row r="54" spans="1:33" x14ac:dyDescent="0.25">
      <c r="A54" s="17"/>
      <c r="B54" s="61"/>
      <c r="C54" s="61"/>
      <c r="D54" s="61"/>
      <c r="E54" s="61"/>
      <c r="F54" s="61"/>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row>
    <row r="55" spans="1:33" x14ac:dyDescent="0.25">
      <c r="A55" s="17"/>
      <c r="B55" s="61"/>
      <c r="C55" s="61"/>
      <c r="D55" s="61"/>
      <c r="E55" s="61"/>
      <c r="F55" s="61"/>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row>
    <row r="56" spans="1:33" x14ac:dyDescent="0.25">
      <c r="A56" s="17"/>
      <c r="B56" s="61"/>
      <c r="C56" s="61"/>
      <c r="D56" s="61"/>
      <c r="E56" s="61"/>
      <c r="F56" s="61"/>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row>
    <row r="57" spans="1:33" x14ac:dyDescent="0.25">
      <c r="A57" s="17"/>
      <c r="B57" s="61"/>
      <c r="C57" s="61"/>
      <c r="D57" s="61"/>
      <c r="E57" s="61"/>
      <c r="F57" s="61"/>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row>
    <row r="58" spans="1:33" x14ac:dyDescent="0.25">
      <c r="A58" s="17"/>
      <c r="B58" s="61"/>
      <c r="C58" s="61"/>
      <c r="D58" s="61"/>
      <c r="E58" s="61"/>
      <c r="F58" s="61"/>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row>
    <row r="59" spans="1:33" x14ac:dyDescent="0.25">
      <c r="A59" s="17"/>
      <c r="B59" s="61"/>
      <c r="C59" s="61"/>
      <c r="D59" s="61"/>
      <c r="E59" s="61"/>
      <c r="F59" s="61"/>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row>
    <row r="60" spans="1:33" x14ac:dyDescent="0.25">
      <c r="A60" s="17"/>
      <c r="B60" s="61"/>
      <c r="C60" s="61"/>
      <c r="D60" s="61"/>
      <c r="E60" s="61"/>
      <c r="F60" s="61"/>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row>
    <row r="61" spans="1:33" x14ac:dyDescent="0.25">
      <c r="A61" s="17"/>
      <c r="B61" s="61"/>
      <c r="C61" s="61"/>
      <c r="D61" s="61"/>
      <c r="E61" s="61"/>
      <c r="F61" s="61"/>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row>
    <row r="62" spans="1:33" x14ac:dyDescent="0.25">
      <c r="A62" s="17"/>
      <c r="B62" s="61"/>
      <c r="C62" s="61"/>
      <c r="D62" s="61"/>
      <c r="E62" s="61"/>
      <c r="F62" s="61"/>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row>
    <row r="63" spans="1:33" x14ac:dyDescent="0.25">
      <c r="A63" s="17"/>
      <c r="B63" s="61"/>
      <c r="C63" s="61"/>
      <c r="D63" s="61"/>
      <c r="E63" s="61"/>
      <c r="F63" s="61"/>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row>
    <row r="64" spans="1:33" x14ac:dyDescent="0.25">
      <c r="A64" s="17"/>
      <c r="B64" s="61"/>
      <c r="C64" s="61"/>
      <c r="D64" s="61"/>
      <c r="E64" s="61"/>
      <c r="F64" s="61"/>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row>
    <row r="65" spans="1:33" x14ac:dyDescent="0.25">
      <c r="A65" s="17"/>
      <c r="B65" s="61"/>
      <c r="C65" s="61"/>
      <c r="D65" s="61"/>
      <c r="E65" s="61"/>
      <c r="F65" s="61"/>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row>
    <row r="66" spans="1:33" x14ac:dyDescent="0.25">
      <c r="A66" s="17"/>
      <c r="B66" s="61"/>
      <c r="C66" s="61"/>
      <c r="D66" s="61"/>
      <c r="E66" s="61"/>
      <c r="F66" s="61"/>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row>
    <row r="67" spans="1:33" x14ac:dyDescent="0.25">
      <c r="A67" s="17"/>
      <c r="B67" s="61"/>
      <c r="C67" s="61"/>
      <c r="D67" s="61"/>
      <c r="E67" s="61"/>
      <c r="F67" s="61"/>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row>
    <row r="68" spans="1:33" x14ac:dyDescent="0.25">
      <c r="H68" s="17"/>
      <c r="I68" s="17"/>
      <c r="J68" s="17"/>
      <c r="K68" s="17"/>
      <c r="L68" s="17"/>
      <c r="M68" s="17"/>
    </row>
  </sheetData>
  <sheetProtection sheet="1" objects="1" scenarios="1" selectLockedCells="1"/>
  <mergeCells count="60">
    <mergeCell ref="P26:T27"/>
    <mergeCell ref="P28:T28"/>
    <mergeCell ref="P29:T29"/>
    <mergeCell ref="K29:L29"/>
    <mergeCell ref="K24:L24"/>
    <mergeCell ref="K25:L25"/>
    <mergeCell ref="K26:L26"/>
    <mergeCell ref="K27:L27"/>
    <mergeCell ref="K28:L28"/>
    <mergeCell ref="K30:L30"/>
    <mergeCell ref="H25:I25"/>
    <mergeCell ref="B2:T2"/>
    <mergeCell ref="H13:H17"/>
    <mergeCell ref="B10:B15"/>
    <mergeCell ref="B4:B8"/>
    <mergeCell ref="B17:B22"/>
    <mergeCell ref="B27:B28"/>
    <mergeCell ref="B24:B25"/>
    <mergeCell ref="C21:D21"/>
    <mergeCell ref="C22:D22"/>
    <mergeCell ref="C4:D4"/>
    <mergeCell ref="C5:D5"/>
    <mergeCell ref="C6:D6"/>
    <mergeCell ref="H24:I24"/>
    <mergeCell ref="C8:D8"/>
    <mergeCell ref="I20:K20"/>
    <mergeCell ref="I21:K21"/>
    <mergeCell ref="I22:K22"/>
    <mergeCell ref="C10:D10"/>
    <mergeCell ref="C11:D11"/>
    <mergeCell ref="C12:D12"/>
    <mergeCell ref="C18:D18"/>
    <mergeCell ref="C19:D19"/>
    <mergeCell ref="C17:D17"/>
    <mergeCell ref="I13:K13"/>
    <mergeCell ref="I14:K14"/>
    <mergeCell ref="I15:K15"/>
    <mergeCell ref="I10:K10"/>
    <mergeCell ref="I11:K11"/>
    <mergeCell ref="H4:H6"/>
    <mergeCell ref="I4:K4"/>
    <mergeCell ref="I5:K5"/>
    <mergeCell ref="I6:K6"/>
    <mergeCell ref="I7:K7"/>
    <mergeCell ref="H29:I29"/>
    <mergeCell ref="C7:D7"/>
    <mergeCell ref="I17:K17"/>
    <mergeCell ref="C28:D28"/>
    <mergeCell ref="C27:D27"/>
    <mergeCell ref="C24:D24"/>
    <mergeCell ref="C25:D25"/>
    <mergeCell ref="H27:I27"/>
    <mergeCell ref="I8:K8"/>
    <mergeCell ref="I16:K16"/>
    <mergeCell ref="C13:D13"/>
    <mergeCell ref="C14:D14"/>
    <mergeCell ref="C15:D15"/>
    <mergeCell ref="H19:H22"/>
    <mergeCell ref="I19:K19"/>
    <mergeCell ref="C20:D20"/>
  </mergeCells>
  <phoneticPr fontId="0" type="noConversion"/>
  <hyperlinks>
    <hyperlink ref="P26:S27" r:id="rId1" display="Run Amok Combat Robotics" xr:uid="{00000000-0004-0000-0100-000000000000}"/>
  </hyperlinks>
  <printOptions horizontalCentered="1" verticalCentered="1"/>
  <pageMargins left="0.5" right="0.5" top="1" bottom="1" header="0.5" footer="0.5"/>
  <pageSetup orientation="landscape"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1035" r:id="rId5" name="Option Button 11">
              <controlPr locked="0" defaultSize="0" autoFill="0" autoLine="0" autoPict="0">
                <anchor moveWithCells="1">
                  <from>
                    <xdr:col>7</xdr:col>
                    <xdr:colOff>30480</xdr:colOff>
                    <xdr:row>5</xdr:row>
                    <xdr:rowOff>121920</xdr:rowOff>
                  </from>
                  <to>
                    <xdr:col>8</xdr:col>
                    <xdr:colOff>0</xdr:colOff>
                    <xdr:row>6</xdr:row>
                    <xdr:rowOff>114300</xdr:rowOff>
                  </to>
                </anchor>
              </controlPr>
            </control>
          </mc:Choice>
        </mc:AlternateContent>
        <mc:AlternateContent xmlns:mc="http://schemas.openxmlformats.org/markup-compatibility/2006">
          <mc:Choice Requires="x14">
            <control shapeId="1037" r:id="rId6" name="Option Button 13">
              <controlPr locked="0" defaultSize="0" autoFill="0" autoLine="0" autoPict="0">
                <anchor moveWithCells="1">
                  <from>
                    <xdr:col>7</xdr:col>
                    <xdr:colOff>30480</xdr:colOff>
                    <xdr:row>6</xdr:row>
                    <xdr:rowOff>121920</xdr:rowOff>
                  </from>
                  <to>
                    <xdr:col>8</xdr:col>
                    <xdr:colOff>0</xdr:colOff>
                    <xdr:row>7</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4" id="{ED985250-5720-4C99-9B1F-74315CD9B5EE}">
            <xm:f>'Data Table'!$A$2=1</xm:f>
            <x14:dxf>
              <font>
                <strike val="0"/>
                <color theme="2" tint="-9.9948118533890809E-2"/>
              </font>
              <fill>
                <patternFill>
                  <fgColor theme="0" tint="-0.14990691854609822"/>
                  <bgColor theme="2" tint="-9.9948118533890809E-2"/>
                </patternFill>
              </fill>
            </x14:dxf>
          </x14:cfRule>
          <xm:sqref>L7</xm:sqref>
        </x14:conditionalFormatting>
        <x14:conditionalFormatting xmlns:xm="http://schemas.microsoft.com/office/excel/2006/main">
          <x14:cfRule type="expression" priority="1" id="{4A9279FA-A4B1-42BB-943A-C7F59F226A5C}">
            <xm:f>'Data Table'!$A$2=1</xm:f>
            <x14:dxf>
              <font>
                <strike val="0"/>
                <color theme="2" tint="-9.9948118533890809E-2"/>
              </font>
              <fill>
                <patternFill>
                  <fgColor theme="0" tint="-0.14990691854609822"/>
                  <bgColor theme="2" tint="-9.9948118533890809E-2"/>
                </patternFill>
              </fill>
            </x14:dxf>
          </x14:cfRule>
          <xm:sqref>L10:L11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'Data Table'!$F$6:$F$24</xm:f>
          </x14:formula1>
          <xm:sqref>L13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
  <sheetViews>
    <sheetView workbookViewId="0">
      <selection activeCell="G13" sqref="G13"/>
    </sheetView>
  </sheetViews>
  <sheetFormatPr defaultRowHeight="13.2" x14ac:dyDescent="0.25"/>
  <cols>
    <col min="1" max="1" width="4.33203125" customWidth="1"/>
    <col min="2" max="2" width="13.109375" bestFit="1" customWidth="1"/>
    <col min="3" max="3" width="9.5546875" customWidth="1"/>
    <col min="6" max="6" width="9.109375" customWidth="1"/>
    <col min="10" max="10" width="9.33203125" customWidth="1"/>
    <col min="13" max="13" width="12.109375" customWidth="1"/>
    <col min="14" max="14" width="6.5546875" customWidth="1"/>
  </cols>
  <sheetData>
    <row r="1" spans="1:10" x14ac:dyDescent="0.25">
      <c r="A1" s="8" t="s">
        <v>92</v>
      </c>
      <c r="B1" s="7" t="s">
        <v>13</v>
      </c>
      <c r="C1" s="9" t="s">
        <v>44</v>
      </c>
      <c r="D1" s="7" t="s">
        <v>14</v>
      </c>
      <c r="E1" s="7" t="s">
        <v>16</v>
      </c>
      <c r="F1" s="9" t="s">
        <v>48</v>
      </c>
      <c r="G1" s="20" t="s">
        <v>57</v>
      </c>
      <c r="H1" s="8" t="s">
        <v>37</v>
      </c>
      <c r="I1" s="8" t="s">
        <v>38</v>
      </c>
      <c r="J1" s="8" t="s">
        <v>102</v>
      </c>
    </row>
    <row r="2" spans="1:10" x14ac:dyDescent="0.25">
      <c r="A2" s="6">
        <v>2</v>
      </c>
      <c r="B2" s="5">
        <f>((((Calculations!L4*Calculations!L5)/Calculations!$L$8)*0.105)/($F$2*Calculations!$L$8))*Calculations!$E$28</f>
        <v>0.96395138254295576</v>
      </c>
      <c r="C2" s="5">
        <f>B2*(1/Calculations!$L$11)</f>
        <v>3.855805530171823</v>
      </c>
      <c r="D2" s="6">
        <f>(Calculations!L4*Calculations!L5)/Calculations!L8</f>
        <v>8140</v>
      </c>
      <c r="E2" s="87">
        <f>Calculations!$E$28</f>
        <v>9.0421243380000051E-3</v>
      </c>
      <c r="F2" s="5">
        <f>((1352/Calculations!$L$5)*(Calculations!$L$4/(J2/1000)))/(141.61)</f>
        <v>5.3448779068095886</v>
      </c>
      <c r="G2" s="6">
        <f>1000*Calculations!L4/J2</f>
        <v>307.90568654646324</v>
      </c>
      <c r="H2" s="6">
        <f>Calculations!L8</f>
        <v>1.5</v>
      </c>
      <c r="I2" s="6">
        <f>IF(A2=1,0,(60/(Calculations!L7*3*(Calculations!L10/1000000)))/$H$2)</f>
        <v>1302.0833333333335</v>
      </c>
      <c r="J2" s="6">
        <f>Calculations!L6+(Calculations!L19*Calculations!L4/3.7)</f>
        <v>72.099999999999994</v>
      </c>
    </row>
    <row r="4" spans="1:10" x14ac:dyDescent="0.25">
      <c r="B4" s="9" t="s">
        <v>40</v>
      </c>
      <c r="C4" s="7" t="s">
        <v>41</v>
      </c>
      <c r="D4" s="9" t="s">
        <v>42</v>
      </c>
      <c r="E4" s="14" t="s">
        <v>43</v>
      </c>
      <c r="F4" s="12" t="s">
        <v>15</v>
      </c>
      <c r="G4" s="7" t="s">
        <v>12</v>
      </c>
      <c r="H4" s="7" t="s">
        <v>0</v>
      </c>
      <c r="I4" s="7" t="s">
        <v>17</v>
      </c>
      <c r="J4" s="7" t="s">
        <v>57</v>
      </c>
    </row>
    <row r="5" spans="1:10" x14ac:dyDescent="0.25">
      <c r="B5" s="5">
        <v>0</v>
      </c>
      <c r="C5" s="10" t="s">
        <v>39</v>
      </c>
      <c r="D5" s="5">
        <v>0</v>
      </c>
      <c r="E5" s="15" t="s">
        <v>39</v>
      </c>
      <c r="F5" s="13">
        <v>0</v>
      </c>
      <c r="G5" s="5">
        <v>0</v>
      </c>
      <c r="H5" s="6">
        <v>0</v>
      </c>
      <c r="I5" s="6">
        <v>0</v>
      </c>
      <c r="J5" s="6">
        <f>IF(H5&lt;$I$2,(1-F5)*$G$2/(1/Calculations!$L$11),(1-F5)*$G$2)</f>
        <v>76.976421636615811</v>
      </c>
    </row>
    <row r="6" spans="1:10" x14ac:dyDescent="0.25">
      <c r="B6" s="5">
        <f t="shared" ref="B6:B26" si="0">-($B$2*LN(1-F6))</f>
        <v>4.944424204006221E-2</v>
      </c>
      <c r="C6" s="11">
        <f t="shared" ref="C6:C24" si="1">B6-B5</f>
        <v>4.944424204006221E-2</v>
      </c>
      <c r="D6" s="5">
        <f t="shared" ref="D6:D26" si="2">-($C$2*LN(1-F6))</f>
        <v>0.19777696816024884</v>
      </c>
      <c r="E6" s="16">
        <f>D6-D5</f>
        <v>0.19777696816024884</v>
      </c>
      <c r="F6" s="13">
        <v>0.05</v>
      </c>
      <c r="G6" s="5">
        <f t="shared" ref="G6:G24" si="3">IF(H5&lt;$I$2,G5+E6,G5+C6)</f>
        <v>0.19777696816024884</v>
      </c>
      <c r="H6" s="6">
        <f t="shared" ref="H6:H26" si="4">$D$2*$F6</f>
        <v>407</v>
      </c>
      <c r="I6" s="6">
        <f t="shared" ref="I6:I26" si="5">0.5*$E$2*(H6*0.105)^2</f>
        <v>8.2567264352403118</v>
      </c>
      <c r="J6" s="6">
        <f>IF(H6&lt;$I$2,(1-F6)*$G$2/(1/Calculations!$L$11),(1-F6)*$G$2)</f>
        <v>73.127600554785019</v>
      </c>
    </row>
    <row r="7" spans="1:10" x14ac:dyDescent="0.25">
      <c r="B7" s="5">
        <f t="shared" si="0"/>
        <v>0.10156241473380039</v>
      </c>
      <c r="C7" s="11">
        <f t="shared" si="1"/>
        <v>5.2118172693738175E-2</v>
      </c>
      <c r="D7" s="5">
        <f t="shared" si="2"/>
        <v>0.40624965893520154</v>
      </c>
      <c r="E7" s="16">
        <f t="shared" ref="E7:E24" si="6">D7-D6</f>
        <v>0.2084726907749527</v>
      </c>
      <c r="F7" s="13">
        <v>0.1</v>
      </c>
      <c r="G7" s="5">
        <f t="shared" si="3"/>
        <v>0.40624965893520154</v>
      </c>
      <c r="H7" s="6">
        <f t="shared" si="4"/>
        <v>814</v>
      </c>
      <c r="I7" s="6">
        <f t="shared" si="5"/>
        <v>33.026905740961247</v>
      </c>
      <c r="J7" s="6">
        <f>IF(H7&lt;$I$2,(1-F7)*$G$2/(1/Calculations!$L$11),(1-F7)*$G$2)</f>
        <v>69.278779472954227</v>
      </c>
    </row>
    <row r="8" spans="1:10" x14ac:dyDescent="0.25">
      <c r="B8" s="5">
        <f t="shared" si="0"/>
        <v>0.1566603467787813</v>
      </c>
      <c r="C8" s="11">
        <f t="shared" si="1"/>
        <v>5.509793204498091E-2</v>
      </c>
      <c r="D8" s="5">
        <f t="shared" si="2"/>
        <v>0.62664138711512518</v>
      </c>
      <c r="E8" s="16">
        <f t="shared" si="6"/>
        <v>0.22039172817992364</v>
      </c>
      <c r="F8" s="13">
        <v>0.15</v>
      </c>
      <c r="G8" s="5">
        <f t="shared" si="3"/>
        <v>0.62664138711512518</v>
      </c>
      <c r="H8" s="6">
        <f t="shared" si="4"/>
        <v>1221</v>
      </c>
      <c r="I8" s="6">
        <f t="shared" si="5"/>
        <v>74.31053791716279</v>
      </c>
      <c r="J8" s="6">
        <f>IF(H8&lt;$I$2,(1-F8)*$G$2/(1/Calculations!$L$11),(1-F8)*$G$2)</f>
        <v>65.429958391123435</v>
      </c>
    </row>
    <row r="9" spans="1:10" x14ac:dyDescent="0.25">
      <c r="B9" s="5">
        <f t="shared" si="0"/>
        <v>0.21509953479487745</v>
      </c>
      <c r="C9" s="11">
        <f t="shared" si="1"/>
        <v>5.8439188016096155E-2</v>
      </c>
      <c r="D9" s="5">
        <f t="shared" si="2"/>
        <v>0.8603981391795098</v>
      </c>
      <c r="E9" s="16">
        <f t="shared" si="6"/>
        <v>0.23375675206438462</v>
      </c>
      <c r="F9" s="13">
        <v>0.2</v>
      </c>
      <c r="G9" s="5">
        <f t="shared" si="3"/>
        <v>0.8603981391795098</v>
      </c>
      <c r="H9" s="6">
        <f t="shared" si="4"/>
        <v>1628</v>
      </c>
      <c r="I9" s="6">
        <f t="shared" si="5"/>
        <v>132.10762296384499</v>
      </c>
      <c r="J9" s="6">
        <f>IF(H9&lt;$I$2,(1-F9)*$G$2/(1/Calculations!$L$11),(1-F9)*$G$2)</f>
        <v>246.3245492371706</v>
      </c>
    </row>
    <row r="10" spans="1:10" x14ac:dyDescent="0.25">
      <c r="B10" s="5">
        <f t="shared" si="0"/>
        <v>0.27731153147271698</v>
      </c>
      <c r="C10" s="11">
        <f t="shared" si="1"/>
        <v>6.2211996677839526E-2</v>
      </c>
      <c r="D10" s="5">
        <f t="shared" si="2"/>
        <v>1.1092461258908679</v>
      </c>
      <c r="E10" s="16">
        <f t="shared" si="6"/>
        <v>0.2488479867113581</v>
      </c>
      <c r="F10" s="13">
        <v>0.25</v>
      </c>
      <c r="G10" s="5">
        <f t="shared" si="3"/>
        <v>0.9226101358573493</v>
      </c>
      <c r="H10" s="6">
        <f t="shared" si="4"/>
        <v>2035</v>
      </c>
      <c r="I10" s="6">
        <f t="shared" si="5"/>
        <v>206.41816088100776</v>
      </c>
      <c r="J10" s="6">
        <f>IF(H10&lt;$I$2,(1-F10)*$G$2/(1/Calculations!$L$11),(1-F10)*$G$2)</f>
        <v>230.92926490984743</v>
      </c>
    </row>
    <row r="11" spans="1:10" x14ac:dyDescent="0.25">
      <c r="B11" s="5">
        <f t="shared" si="0"/>
        <v>0.3438173053281724</v>
      </c>
      <c r="C11" s="11">
        <f t="shared" si="1"/>
        <v>6.6505773855455419E-2</v>
      </c>
      <c r="D11" s="5">
        <f t="shared" si="2"/>
        <v>1.3752692213126896</v>
      </c>
      <c r="E11" s="16">
        <f t="shared" si="6"/>
        <v>0.26602309542182168</v>
      </c>
      <c r="F11" s="13">
        <v>0.3</v>
      </c>
      <c r="G11" s="5">
        <f t="shared" si="3"/>
        <v>0.98911590971280472</v>
      </c>
      <c r="H11" s="6">
        <f t="shared" si="4"/>
        <v>2442</v>
      </c>
      <c r="I11" s="6">
        <f t="shared" si="5"/>
        <v>297.24215166865116</v>
      </c>
      <c r="J11" s="6">
        <f>IF(H11&lt;$I$2,(1-F11)*$G$2/(1/Calculations!$L$11),(1-F11)*$G$2)</f>
        <v>215.53398058252426</v>
      </c>
    </row>
    <row r="12" spans="1:10" x14ac:dyDescent="0.25">
      <c r="B12" s="5">
        <f t="shared" si="0"/>
        <v>0.41525378754320735</v>
      </c>
      <c r="C12" s="11">
        <f t="shared" si="1"/>
        <v>7.1436482215034958E-2</v>
      </c>
      <c r="D12" s="5">
        <f t="shared" si="2"/>
        <v>1.6610151501728294</v>
      </c>
      <c r="E12" s="16">
        <f t="shared" si="6"/>
        <v>0.28574592886013983</v>
      </c>
      <c r="F12" s="13">
        <v>0.35</v>
      </c>
      <c r="G12" s="5">
        <f t="shared" si="3"/>
        <v>1.0605523919278397</v>
      </c>
      <c r="H12" s="6">
        <f t="shared" si="4"/>
        <v>2849</v>
      </c>
      <c r="I12" s="6">
        <f t="shared" si="5"/>
        <v>404.57959532677523</v>
      </c>
      <c r="J12" s="6">
        <f>IF(H12&lt;$I$2,(1-F12)*$G$2/(1/Calculations!$L$11),(1-F12)*$G$2)</f>
        <v>200.13869625520113</v>
      </c>
    </row>
    <row r="13" spans="1:10" x14ac:dyDescent="0.25">
      <c r="B13" s="5">
        <f t="shared" si="0"/>
        <v>0.49241106626759451</v>
      </c>
      <c r="C13" s="11">
        <f t="shared" si="1"/>
        <v>7.7157278724387157E-2</v>
      </c>
      <c r="D13" s="5">
        <f t="shared" si="2"/>
        <v>1.969644265070378</v>
      </c>
      <c r="E13" s="16">
        <f t="shared" si="6"/>
        <v>0.30862911489754863</v>
      </c>
      <c r="F13" s="13">
        <v>0.4</v>
      </c>
      <c r="G13" s="5">
        <f t="shared" si="3"/>
        <v>1.1377096706522267</v>
      </c>
      <c r="H13" s="6">
        <f t="shared" si="4"/>
        <v>3256</v>
      </c>
      <c r="I13" s="6">
        <f t="shared" si="5"/>
        <v>528.43049185537996</v>
      </c>
      <c r="J13" s="6">
        <f>IF(H13&lt;$I$2,(1-F13)*$G$2/(1/Calculations!$L$11),(1-F13)*$G$2)</f>
        <v>184.74341192787793</v>
      </c>
    </row>
    <row r="14" spans="1:10" x14ac:dyDescent="0.25">
      <c r="B14" s="5">
        <f t="shared" si="0"/>
        <v>0.57628580341371438</v>
      </c>
      <c r="C14" s="11">
        <f t="shared" si="1"/>
        <v>8.3874737146119871E-2</v>
      </c>
      <c r="D14" s="5">
        <f t="shared" si="2"/>
        <v>2.3051432136548575</v>
      </c>
      <c r="E14" s="16">
        <f t="shared" si="6"/>
        <v>0.33549894858447948</v>
      </c>
      <c r="F14" s="13">
        <v>0.45</v>
      </c>
      <c r="G14" s="5">
        <f t="shared" si="3"/>
        <v>1.2215844077983466</v>
      </c>
      <c r="H14" s="6">
        <f t="shared" si="4"/>
        <v>3663</v>
      </c>
      <c r="I14" s="6">
        <f t="shared" si="5"/>
        <v>668.79484125446527</v>
      </c>
      <c r="J14" s="6">
        <f>IF(H14&lt;$I$2,(1-F14)*$G$2/(1/Calculations!$L$11),(1-F14)*$G$2)</f>
        <v>169.34812760055479</v>
      </c>
    </row>
    <row r="15" spans="1:10" x14ac:dyDescent="0.25">
      <c r="B15" s="5">
        <f t="shared" si="0"/>
        <v>0.66816018300651103</v>
      </c>
      <c r="C15" s="11">
        <f t="shared" si="1"/>
        <v>9.1874379592796651E-2</v>
      </c>
      <c r="D15" s="5">
        <f t="shared" si="2"/>
        <v>2.6726407320260441</v>
      </c>
      <c r="E15" s="16">
        <f t="shared" si="6"/>
        <v>0.3674975183711866</v>
      </c>
      <c r="F15" s="13">
        <v>0.5</v>
      </c>
      <c r="G15" s="5">
        <f t="shared" si="3"/>
        <v>1.3134587873911432</v>
      </c>
      <c r="H15" s="6">
        <f t="shared" si="4"/>
        <v>4070</v>
      </c>
      <c r="I15" s="6">
        <f t="shared" si="5"/>
        <v>825.67264352403106</v>
      </c>
      <c r="J15" s="6">
        <f>IF(H15&lt;$I$2,(1-F15)*$G$2/(1/Calculations!$L$11),(1-F15)*$G$2)</f>
        <v>153.95284327323162</v>
      </c>
    </row>
    <row r="16" spans="1:10" x14ac:dyDescent="0.25">
      <c r="B16" s="5">
        <f t="shared" si="0"/>
        <v>0.7697225977403116</v>
      </c>
      <c r="C16" s="11">
        <f t="shared" si="1"/>
        <v>0.10156241473380057</v>
      </c>
      <c r="D16" s="5">
        <f t="shared" si="2"/>
        <v>3.0788903909612464</v>
      </c>
      <c r="E16" s="16">
        <f t="shared" si="6"/>
        <v>0.40624965893520226</v>
      </c>
      <c r="F16" s="13">
        <v>0.55000000000000004</v>
      </c>
      <c r="G16" s="5">
        <f t="shared" si="3"/>
        <v>1.4150212021249438</v>
      </c>
      <c r="H16" s="6">
        <f t="shared" si="4"/>
        <v>4477</v>
      </c>
      <c r="I16" s="6">
        <f t="shared" si="5"/>
        <v>999.06389866407767</v>
      </c>
      <c r="J16" s="6">
        <f>IF(H16&lt;$I$2,(1-F16)*$G$2/(1/Calculations!$L$11),(1-F16)*$G$2)</f>
        <v>138.55755894590845</v>
      </c>
    </row>
    <row r="17" spans="2:15" x14ac:dyDescent="0.25">
      <c r="B17" s="5">
        <f t="shared" si="0"/>
        <v>0.88325971780138846</v>
      </c>
      <c r="C17" s="11">
        <f t="shared" si="1"/>
        <v>0.11353712006107686</v>
      </c>
      <c r="D17" s="5">
        <f t="shared" si="2"/>
        <v>3.5330388712055538</v>
      </c>
      <c r="E17" s="16">
        <f t="shared" si="6"/>
        <v>0.45414848024430743</v>
      </c>
      <c r="F17" s="13">
        <v>0.6</v>
      </c>
      <c r="G17" s="5">
        <f t="shared" si="3"/>
        <v>1.5285583221860206</v>
      </c>
      <c r="H17" s="6">
        <f t="shared" si="4"/>
        <v>4884</v>
      </c>
      <c r="I17" s="6">
        <f t="shared" si="5"/>
        <v>1188.9686066746046</v>
      </c>
      <c r="J17" s="6">
        <f>IF(H17&lt;$I$2,(1-F17)*$G$2/(1/Calculations!$L$11),(1-F17)*$G$2)</f>
        <v>123.1622746185853</v>
      </c>
    </row>
    <row r="18" spans="2:15" x14ac:dyDescent="0.25">
      <c r="B18" s="5">
        <f t="shared" si="0"/>
        <v>1.0119774883346835</v>
      </c>
      <c r="C18" s="11">
        <f t="shared" si="1"/>
        <v>0.12871777053329503</v>
      </c>
      <c r="D18" s="5">
        <f t="shared" si="2"/>
        <v>4.0479099533387339</v>
      </c>
      <c r="E18" s="16">
        <f t="shared" si="6"/>
        <v>0.51487108213318011</v>
      </c>
      <c r="F18" s="13">
        <v>0.65</v>
      </c>
      <c r="G18" s="5">
        <f t="shared" si="3"/>
        <v>1.6572760927193158</v>
      </c>
      <c r="H18" s="6">
        <f t="shared" si="4"/>
        <v>5291</v>
      </c>
      <c r="I18" s="6">
        <f t="shared" si="5"/>
        <v>1395.3867675556128</v>
      </c>
      <c r="J18" s="6">
        <f>IF(H18&lt;$I$2,(1-F18)*$G$2/(1/Calculations!$L$11),(1-F18)*$G$2)</f>
        <v>107.76699029126213</v>
      </c>
    </row>
    <row r="19" spans="2:15" x14ac:dyDescent="0.25">
      <c r="B19" s="5">
        <f t="shared" si="0"/>
        <v>1.1605712492741054</v>
      </c>
      <c r="C19" s="11">
        <f t="shared" si="1"/>
        <v>0.14859376093942189</v>
      </c>
      <c r="D19" s="5">
        <f t="shared" si="2"/>
        <v>4.6422849970964215</v>
      </c>
      <c r="E19" s="16">
        <f t="shared" si="6"/>
        <v>0.59437504375768757</v>
      </c>
      <c r="F19" s="13">
        <v>0.7</v>
      </c>
      <c r="G19" s="5">
        <f t="shared" si="3"/>
        <v>1.8058698536587376</v>
      </c>
      <c r="H19" s="6">
        <f t="shared" si="4"/>
        <v>5698</v>
      </c>
      <c r="I19" s="6">
        <f t="shared" si="5"/>
        <v>1618.3183813071009</v>
      </c>
      <c r="J19" s="6">
        <f>IF(H19&lt;$I$2,(1-F19)*$G$2/(1/Calculations!$L$11),(1-F19)*$G$2)</f>
        <v>92.371705963938993</v>
      </c>
      <c r="M19" s="167" t="s">
        <v>63</v>
      </c>
      <c r="N19" s="168"/>
      <c r="O19" s="169"/>
    </row>
    <row r="20" spans="2:15" x14ac:dyDescent="0.25">
      <c r="B20" s="5">
        <f t="shared" si="0"/>
        <v>1.3363203660130221</v>
      </c>
      <c r="C20" s="11">
        <f t="shared" si="1"/>
        <v>0.17574911673891669</v>
      </c>
      <c r="D20" s="5">
        <f t="shared" si="2"/>
        <v>5.3452814640520883</v>
      </c>
      <c r="E20" s="16">
        <f t="shared" si="6"/>
        <v>0.70299646695566675</v>
      </c>
      <c r="F20" s="13">
        <v>0.75</v>
      </c>
      <c r="G20" s="5">
        <f t="shared" si="3"/>
        <v>1.9816189703976543</v>
      </c>
      <c r="H20" s="6">
        <f t="shared" si="4"/>
        <v>6105</v>
      </c>
      <c r="I20" s="6">
        <f t="shared" si="5"/>
        <v>1857.7634479290703</v>
      </c>
      <c r="J20" s="6">
        <f>IF(H20&lt;$I$2,(1-F20)*$G$2/(1/Calculations!$L$11),(1-F20)*$G$2)</f>
        <v>76.976421636615811</v>
      </c>
      <c r="M20" s="24" t="s">
        <v>58</v>
      </c>
      <c r="N20" s="19">
        <v>192</v>
      </c>
      <c r="O20" s="21" t="s">
        <v>60</v>
      </c>
    </row>
    <row r="21" spans="2:15" x14ac:dyDescent="0.25">
      <c r="B21" s="5">
        <f t="shared" si="0"/>
        <v>1.5514199008078997</v>
      </c>
      <c r="C21" s="11">
        <f t="shared" si="1"/>
        <v>0.21509953479487764</v>
      </c>
      <c r="D21" s="5">
        <f t="shared" si="2"/>
        <v>6.2056796032315988</v>
      </c>
      <c r="E21" s="16">
        <f t="shared" si="6"/>
        <v>0.86039813917951058</v>
      </c>
      <c r="F21" s="13">
        <v>0.8</v>
      </c>
      <c r="G21" s="5">
        <f t="shared" si="3"/>
        <v>2.196718505192532</v>
      </c>
      <c r="H21" s="6">
        <f t="shared" si="4"/>
        <v>6512</v>
      </c>
      <c r="I21" s="6">
        <f t="shared" si="5"/>
        <v>2113.7219674215198</v>
      </c>
      <c r="J21" s="6">
        <f>IF(H21&lt;$I$2,(1-F21)*$G$2/(1/Calculations!$L$11),(1-F21)*$G$2)</f>
        <v>61.581137309292636</v>
      </c>
      <c r="M21" s="25" t="s">
        <v>61</v>
      </c>
      <c r="N21" s="4">
        <v>14.8</v>
      </c>
      <c r="O21" s="22" t="s">
        <v>59</v>
      </c>
    </row>
    <row r="22" spans="2:15" x14ac:dyDescent="0.25">
      <c r="B22" s="5">
        <f t="shared" si="0"/>
        <v>1.8287314322806163</v>
      </c>
      <c r="C22" s="11">
        <f t="shared" si="1"/>
        <v>0.27731153147271659</v>
      </c>
      <c r="D22" s="5">
        <f t="shared" si="2"/>
        <v>7.3149257291224652</v>
      </c>
      <c r="E22" s="16">
        <f t="shared" si="6"/>
        <v>1.1092461258908664</v>
      </c>
      <c r="F22" s="13">
        <v>0.85</v>
      </c>
      <c r="G22" s="5">
        <f t="shared" si="3"/>
        <v>2.4740300366652486</v>
      </c>
      <c r="H22" s="6">
        <f t="shared" si="4"/>
        <v>6919</v>
      </c>
      <c r="I22" s="6">
        <f t="shared" si="5"/>
        <v>2386.1939397844508</v>
      </c>
      <c r="J22" s="6">
        <f>IF(H22&lt;$I$2,(1-F22)*$G$2/(1/Calculations!$L$11),(1-F22)*$G$2)</f>
        <v>46.185852981969497</v>
      </c>
      <c r="M22" s="26" t="s">
        <v>47</v>
      </c>
      <c r="N22" s="33">
        <f>1000*N21/N20</f>
        <v>77.083333333333329</v>
      </c>
      <c r="O22" s="23" t="s">
        <v>62</v>
      </c>
    </row>
    <row r="23" spans="2:15" x14ac:dyDescent="0.25">
      <c r="B23" s="5">
        <f t="shared" si="0"/>
        <v>2.2195800838144111</v>
      </c>
      <c r="C23" s="11">
        <f t="shared" si="1"/>
        <v>0.39084865153379478</v>
      </c>
      <c r="D23" s="5">
        <f t="shared" si="2"/>
        <v>8.8783203352576443</v>
      </c>
      <c r="E23" s="16">
        <f t="shared" si="6"/>
        <v>1.5633946061351791</v>
      </c>
      <c r="F23" s="13">
        <v>0.9</v>
      </c>
      <c r="G23" s="5">
        <f t="shared" si="3"/>
        <v>2.8648786881990436</v>
      </c>
      <c r="H23" s="6">
        <f t="shared" si="4"/>
        <v>7326</v>
      </c>
      <c r="I23" s="6">
        <f t="shared" si="5"/>
        <v>2675.1793650178611</v>
      </c>
      <c r="J23" s="6">
        <f>IF(H23&lt;$I$2,(1-F23)*$G$2/(1/Calculations!$L$11),(1-F23)*$G$2)</f>
        <v>30.790568654646318</v>
      </c>
    </row>
    <row r="24" spans="2:15" x14ac:dyDescent="0.25">
      <c r="B24" s="5">
        <f t="shared" si="0"/>
        <v>2.8877402668209209</v>
      </c>
      <c r="C24" s="11">
        <f t="shared" si="1"/>
        <v>0.66816018300650981</v>
      </c>
      <c r="D24" s="5">
        <f t="shared" si="2"/>
        <v>11.550961067283684</v>
      </c>
      <c r="E24" s="16">
        <f t="shared" si="6"/>
        <v>2.6726407320260392</v>
      </c>
      <c r="F24" s="13">
        <v>0.95</v>
      </c>
      <c r="G24" s="5">
        <f t="shared" si="3"/>
        <v>3.5330388712055534</v>
      </c>
      <c r="H24" s="6">
        <f t="shared" si="4"/>
        <v>7733</v>
      </c>
      <c r="I24" s="6">
        <f t="shared" si="5"/>
        <v>2980.6782431217521</v>
      </c>
      <c r="J24" s="6">
        <f>IF(H24&lt;$I$2,(1-F24)*$G$2/(1/Calculations!$L$11),(1-F24)*$G$2)</f>
        <v>15.395284327323175</v>
      </c>
    </row>
    <row r="26" spans="2:15" x14ac:dyDescent="0.25">
      <c r="B26" s="27">
        <f t="shared" si="0"/>
        <v>0.9641595640498859</v>
      </c>
      <c r="C26" s="28">
        <f>B26-B$17</f>
        <v>8.0899846248497442E-2</v>
      </c>
      <c r="D26" s="27">
        <f t="shared" si="2"/>
        <v>3.8566382561995436</v>
      </c>
      <c r="E26" s="29">
        <f>D26-D$17</f>
        <v>0.32359938499398977</v>
      </c>
      <c r="F26" s="30">
        <v>0.63219999999999998</v>
      </c>
      <c r="G26" s="27">
        <f>IF(H17&lt;$I$2,G$17+E26,G$17+C26)</f>
        <v>1.6094581684345179</v>
      </c>
      <c r="H26" s="31">
        <f t="shared" si="4"/>
        <v>5146.1080000000002</v>
      </c>
      <c r="I26" s="31">
        <f t="shared" si="5"/>
        <v>1320.0089321525249</v>
      </c>
      <c r="J26" s="31">
        <f>IF(H26&lt;$I$2,(1-F26)*$G$2/(1/Calculations!$L$11),(1-F26)*$G$2)</f>
        <v>113.24771151178919</v>
      </c>
    </row>
    <row r="27" spans="2:15" ht="12.75" customHeight="1" x14ac:dyDescent="0.25"/>
  </sheetData>
  <mergeCells count="1">
    <mergeCell ref="M19:O19"/>
  </mergeCells>
  <phoneticPr fontId="0" type="noConversion"/>
  <conditionalFormatting sqref="G5:G24 G26">
    <cfRule type="expression" dxfId="4" priority="31">
      <formula>$H5&lt;I$2</formula>
    </cfRule>
  </conditionalFormatting>
  <conditionalFormatting sqref="H5:H24 H26">
    <cfRule type="cellIs" dxfId="3" priority="28" operator="lessThan">
      <formula>$I$2</formula>
    </cfRule>
  </conditionalFormatting>
  <conditionalFormatting sqref="I5:I24 I26">
    <cfRule type="expression" dxfId="2" priority="12">
      <formula>$H5&lt;I$2</formula>
    </cfRule>
  </conditionalFormatting>
  <conditionalFormatting sqref="J5:J24 J26">
    <cfRule type="expression" dxfId="1" priority="30">
      <formula>$H5&lt;I$2</formula>
    </cfRule>
  </conditionalFormatting>
  <conditionalFormatting sqref="N22">
    <cfRule type="expression" dxfId="0" priority="36">
      <formula>$H23&lt;M$2</formula>
    </cfRule>
  </conditionalFormatting>
  <pageMargins left="0.75" right="0.75" top="1" bottom="1" header="0.5" footer="0.5"/>
  <pageSetup orientation="portrait" horizontalDpi="1200" verticalDpi="12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Calculations</vt:lpstr>
      <vt:lpstr>Data Table</vt:lpstr>
      <vt:lpstr>Calculations!Print_Area</vt:lpstr>
      <vt:lpstr>seconds</vt:lpstr>
    </vt:vector>
  </TitlesOfParts>
  <Company>ODOT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odot26b</dc:creator>
  <cp:lastModifiedBy>Dharmesh Sahu</cp:lastModifiedBy>
  <cp:lastPrinted>2007-02-09T00:44:08Z</cp:lastPrinted>
  <dcterms:created xsi:type="dcterms:W3CDTF">2006-05-16T21:03:43Z</dcterms:created>
  <dcterms:modified xsi:type="dcterms:W3CDTF">2025-12-20T10:18:51Z</dcterms:modified>
</cp:coreProperties>
</file>